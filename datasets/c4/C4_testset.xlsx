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 sheetId="1" state="visible" r:id="rId1"/>
    <sheet name="Prompts" sheetId="2" state="visible" r:id="rId2"/>
    <sheet name="Label_Answers" sheetId="3" state="visible" r:id="rId3"/>
    <sheet name="Label_ChatGPT" sheetId="4" state="visible" r:id="rId4"/>
    <sheet name="Label_Standalone" sheetId="5" state="visible" r:id="rId5"/>
    <sheet name="Key" sheetId="6" state="visible" r:id="rId6"/>
    <sheet name="Results" sheetId="7" state="visible" r:id="rId7"/>
    <sheet name="Summary"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font>
    <font>
      <name val="Arial"/>
    </font>
    <font>
      <name val="Arial"/>
      <b val="1"/>
      <sz val="14"/>
    </font>
    <font>
      <name val="Arial"/>
      <b val="1"/>
      <color rgb="00FFFFFF"/>
    </font>
  </fonts>
  <fills count="5">
    <fill>
      <patternFill/>
    </fill>
    <fill>
      <patternFill patternType="gray125"/>
    </fill>
    <fill>
      <patternFill patternType="solid">
        <fgColor rgb="001F3864"/>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3" fillId="0" borderId="1" applyAlignment="1" pivotButton="0" quotePrefix="0" xfId="0">
      <alignment vertical="top" wrapText="1"/>
    </xf>
    <xf numFmtId="0" fontId="2" fillId="0" borderId="1" applyAlignment="1" pivotButton="0" quotePrefix="0" xfId="0">
      <alignment vertical="top" wrapText="1"/>
    </xf>
    <xf numFmtId="0" fontId="1" fillId="0" borderId="1" applyAlignment="1" pivotButton="0" quotePrefix="0" xfId="0">
      <alignment vertical="top" wrapText="1"/>
    </xf>
    <xf numFmtId="0" fontId="4" fillId="2"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2"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100" customWidth="1" min="2" max="2"/>
  </cols>
  <sheetData>
    <row r="1">
      <c r="A1" s="1" t="inlineStr">
        <is>
          <t>C4 test set</t>
        </is>
      </c>
      <c r="B1" s="2" t="inlineStr"/>
    </row>
    <row r="2">
      <c r="A2" s="3" t="inlineStr">
        <is>
          <t>Criterion</t>
        </is>
      </c>
      <c r="B2" s="2" t="inlineStr">
        <is>
          <t>C4 overgeneralization: does the sentence make a sweeping claim (always, never, everyone, or a claim about a whole group) that the evidence can't support?</t>
        </is>
      </c>
    </row>
    <row r="3">
      <c r="A3" s="3" t="inlineStr">
        <is>
          <t>Label met</t>
        </is>
      </c>
      <c r="B3" s="2" t="inlineStr">
        <is>
          <t>The sentence itself asserts a sweeping claim that goes beyond what is known.</t>
        </is>
      </c>
    </row>
    <row r="4">
      <c r="A4" s="3" t="inlineStr">
        <is>
          <t>Label not_met</t>
        </is>
      </c>
      <c r="B4" s="2" t="inlineStr">
        <is>
          <t>Hedged wording; an absolute that is literally true (math, science, definitions); a rule or law; an absolute about a closed group ("all 12 patients"); or a sweeping claim the sentence only reports or rejects ("critics argue...", "the myth that...").</t>
        </is>
      </c>
    </row>
    <row r="5">
      <c r="A5" s="3" t="inlineStr">
        <is>
          <t>Label unsure</t>
        </is>
      </c>
      <c r="B5" s="2" t="inlineStr">
        <is>
          <t>Use it rarely, and say why in Notes.</t>
        </is>
      </c>
    </row>
    <row r="6">
      <c r="A6" s="3" t="inlineStr">
        <is>
          <t>Judge only C4</t>
        </is>
      </c>
      <c r="B6" s="2" t="inlineStr">
        <is>
          <t>If the sentence has a different problem (no source, loaded word, causal claim), note it in Notes but label C4 only.</t>
        </is>
      </c>
    </row>
    <row r="7">
      <c r="A7" s="3" t="inlineStr">
        <is>
          <t>Where to type</t>
        </is>
      </c>
      <c r="B7" s="2" t="inlineStr">
        <is>
          <t>Only the yellow cells: your own column on Label_Answers and Label_Standalone (dropdown), Notes, and later Results &gt; Adjudicated. Everything else is filled in or computed.</t>
        </is>
      </c>
    </row>
    <row r="8">
      <c r="A8" s="3" t="inlineStr">
        <is>
          <t>Don't open Key</t>
        </is>
      </c>
      <c r="B8" s="2" t="inlineStr">
        <is>
          <t>The Key sheet has the intended labels. Label first, independently, then compare.</t>
        </is>
      </c>
    </row>
    <row r="9">
      <c r="A9" s="3" t="inlineStr">
        <is>
          <t>Example row</t>
        </is>
      </c>
      <c r="B9" s="2" t="inlineStr">
        <is>
          <t>Sentence: "Remote work always increases productivity."  Label: met.  Note: "always" turns a mixed finding into a rule.</t>
        </is>
      </c>
    </row>
    <row r="10">
      <c r="A10" s="3" t="inlineStr">
        <is>
          <t>Example row</t>
        </is>
      </c>
      <c r="B10" s="2" t="inlineStr">
        <is>
          <t>Sentence: "Every week has seven days."  Label: not_met.  Note: true by definition.</t>
        </is>
      </c>
    </row>
    <row r="11">
      <c r="A11" s="3" t="inlineStr">
        <is>
          <t>Sets</t>
        </is>
      </c>
      <c r="B11" s="2" t="inlineStr">
        <is>
          <t>Label_Answers: 16 ChatGPT-style answers written for this test, sentence by sentence (question and previous sentence for context). Label_ChatGPT: the real ChatGPT answers to the same 16 questions, cleaned of page elements (headings, source chips, image captions, the ad); these have no intended label. Label_Standalone: 40 sweeping/hedged pairs and 40 traps, shuffled.</t>
        </is>
      </c>
    </row>
    <row r="12">
      <c r="A12" s="3" t="inlineStr">
        <is>
          <t>Source</t>
        </is>
      </c>
      <c r="B12" s="2" t="inlineStr">
        <is>
          <t>Claude, in ChatGPT answer style, 2026-10-26. Not real ChatGPT output: paste real answers in the Prompts sheet to compare.</t>
        </is>
      </c>
    </row>
    <row r="13">
      <c r="A13" s="3" t="inlineStr">
        <is>
          <t>Afterwards</t>
        </is>
      </c>
      <c r="B13" s="2" t="inlineStr">
        <is>
          <t>python -m evaluation.c4_testset gold, run GiSuN, then python -m evaluation.c4_testset results. The Summary sheet then shows precision, recall and F1 per mode and per category.</t>
        </is>
      </c>
    </row>
    <row r="15">
      <c r="A15" s="3" t="inlineStr">
        <is>
          <t>Category</t>
        </is>
      </c>
      <c r="B15" s="3" t="inlineStr">
        <is>
          <t>What it tests (intended label)</t>
        </is>
      </c>
    </row>
    <row r="16">
      <c r="A16" s="2" t="inlineStr">
        <is>
          <t>SWEEP-ABS</t>
        </is>
      </c>
      <c r="B16" s="2" t="inlineStr">
        <is>
          <t>sweeping claim with an absolute word (always, never, everyone, all) (met)</t>
        </is>
      </c>
    </row>
    <row r="17">
      <c r="A17" s="2" t="inlineStr">
        <is>
          <t>SWEEP-GENERIC</t>
        </is>
      </c>
      <c r="B17" s="2" t="inlineStr">
        <is>
          <t>sweeping claim about a whole group with no absolute word; the word-list rule can't see it (met)</t>
        </is>
      </c>
    </row>
    <row r="18">
      <c r="A18" s="2" t="inlineStr">
        <is>
          <t>SWEEP-SUPERLATIVE</t>
        </is>
      </c>
      <c r="B18" s="2" t="inlineStr">
        <is>
          <t>'the only way', 'the key', 'the best', 'guarantees' (met)</t>
        </is>
      </c>
    </row>
    <row r="19">
      <c r="A19" s="2" t="inlineStr">
        <is>
          <t>TRUE-ABS</t>
        </is>
      </c>
      <c r="B19" s="2" t="inlineStr">
        <is>
          <t>absolute word, but literally true (math, science, definitions) (not_met)</t>
        </is>
      </c>
    </row>
    <row r="20">
      <c r="A20" s="2" t="inlineStr">
        <is>
          <t>RULE</t>
        </is>
      </c>
      <c r="B20" s="2" t="inlineStr">
        <is>
          <t>absolute word describing a law, rule or requirement (not_met)</t>
        </is>
      </c>
    </row>
    <row r="21">
      <c r="A21" s="2" t="inlineStr">
        <is>
          <t>SCOPED</t>
        </is>
      </c>
      <c r="B21" s="2" t="inlineStr">
        <is>
          <t>absolute word about a closed, stated group ('all 12 patients') (not_met)</t>
        </is>
      </c>
    </row>
    <row r="22">
      <c r="A22" s="2" t="inlineStr">
        <is>
          <t>REPORTED</t>
        </is>
      </c>
      <c r="B22" s="2" t="inlineStr">
        <is>
          <t>a sweeping claim reported or rejected, not asserted (depends on the reported-arguments rule) (not_met)</t>
        </is>
      </c>
    </row>
    <row r="23">
      <c r="A23" s="2" t="inlineStr">
        <is>
          <t>HEDGED</t>
        </is>
      </c>
      <c r="B23" s="2" t="inlineStr">
        <is>
          <t>hedged wording: may, some, often, tends to (not_met)</t>
        </is>
      </c>
    </row>
    <row r="24">
      <c r="A24" s="2" t="inlineStr">
        <is>
          <t>PAIR-HEDGED</t>
        </is>
      </c>
      <c r="B24" s="2" t="inlineStr">
        <is>
          <t>hedged twin of a sweeping pair sentence (not_met)</t>
        </is>
      </c>
    </row>
    <row r="25">
      <c r="A25" s="2" t="inlineStr">
        <is>
          <t>NEUTRAL</t>
        </is>
      </c>
      <c r="B25" s="2" t="inlineStr">
        <is>
          <t>ordinary specific or sourced sentence (not_met)</t>
        </is>
      </c>
    </row>
    <row r="26">
      <c r="A26" s="2" t="inlineStr">
        <is>
          <t>REAL</t>
        </is>
      </c>
      <c r="B26" s="2" t="inlineStr">
        <is>
          <t>real ChatGPT sentence: no intended label, your labels are the only gold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34" customWidth="1" min="3" max="3"/>
    <col width="70" customWidth="1" min="4" max="4"/>
    <col width="22" customWidth="1" min="5" max="5"/>
    <col width="70" customWidth="1" min="6" max="6"/>
    <col width="40" customWidth="1" min="7" max="7"/>
  </cols>
  <sheetData>
    <row r="1">
      <c r="A1" s="4" t="inlineStr">
        <is>
          <t>Prompt ID</t>
        </is>
      </c>
      <c r="B1" s="4" t="inlineStr">
        <is>
          <t>Group</t>
        </is>
      </c>
      <c r="C1" s="4" t="inlineStr">
        <is>
          <t>Question</t>
        </is>
      </c>
      <c r="D1" s="4" t="inlineStr">
        <is>
          <t>Answer</t>
        </is>
      </c>
      <c r="E1" s="4" t="inlineStr">
        <is>
          <t>Answer source</t>
        </is>
      </c>
      <c r="F1" s="4" t="inlineStr">
        <is>
          <t>Real ChatGPT answer (cleaned)</t>
        </is>
      </c>
      <c r="G1" s="4" t="inlineStr">
        <is>
          <t>Removed when cleaning</t>
        </is>
      </c>
    </row>
    <row r="2">
      <c r="A2" s="2" t="inlineStr">
        <is>
          <t>c4-a01</t>
        </is>
      </c>
      <c r="B2" s="2" t="inlineStr">
        <is>
          <t>sweeping_bait</t>
        </is>
      </c>
      <c r="C2" s="2" t="inlineStr">
        <is>
          <t>Is breakfast the most important meal of the day?</t>
        </is>
      </c>
      <c r="D2" s="2" t="inlineStr">
        <is>
          <t>Breakfast has long been called the most important meal of the day, and there are some reasons for that reputation.
**Why breakfast matters**
- **Energy:** Eating in the morning refuels your body after an overnight fast.
- **Focus:** Everyone concentrates better after a good breakfast.
- **Weight:** People who skip breakfast always end up overeating later in the day.
**What the research says**
Some studies have linked regular breakfast eating to better diet quality, but randomized trials have found little effect on weight. Much of the older research was observational, so it can't show that breakfast itself causes the benefits.
**Bottom line**
Breakfast is the key to a healthy metabolism. That said, if you aren't hungry in the morning, skipping it is unlikely to harm most healthy adults.</t>
        </is>
      </c>
      <c r="E2" s="2" t="inlineStr">
        <is>
          <t>written in ChatGPT style (Claude)</t>
        </is>
      </c>
      <c r="F2" s="2" t="inlineStr">
        <is>
          <t>Not necessarily! Breakfast can be an important meal, but the idea that it is the most important meal of the day is more of a popular saying than a scientific fact.
The truth is that what you eat throughout the day, how much you eat, and the quality of your diet matter more than whether you eat breakfast specifically.
After sleeping overnight, breakfast gives you an opportunity to replenish energy and nutrients. A balanced breakfast can help you feel ready for your morning activities.
Hoeveel calorieën kun je het beste voor ontbijt eten?
For some people, particularly children and students, eating breakfast can improve aspects of attention and memory, especially when they are hungry.
Foods such as eggs, oats, yogurt, fruit, and whole grains provide protein, fiber, vitamins, and minerals that contribute to a balanced diet.
What does the science say about skipping breakfast?
Research suggests the answer depends on what outcome you're looking at.
Weight loss: A 2019 systematic review of randomized controlled trials found no evidence that eating breakfast automatically helps people lose weight or that skipping it causes weight gain.
Long-term health: Studies have linked regularly skipping breakfast with higher cardiovascular risks, but these associations don't prove that skipping breakfast itself causes those problems. Other lifestyle factors may contribute.
Children and teenagers: Regular breakfast consumption may support healthy growth and body composition.
So, should you eat breakfast?
My practical advice is to eat breakfast if you're hungry in the morning, need energy for classes or work, or find that it helps you concentrate. Choose foods that provide protein, fiber, and other nutrients.
If you're not hungry early in the morning and eat balanced meals later, you don't necessarily need to force yourself to eat immediately after waking.
The bottom line: Breakfast can be valuable, but it isn't universally the most important meal. The quality of your overall diet and your eating habits matter more than the name or timing of any single meal.</t>
        </is>
      </c>
      <c r="G2" s="2" t="inlineStr">
        <is>
          <t>Why breakfast can be beneficial
Energierijke Havermout met Bessen en Noten | Just CookEasy
1. It provides energy
2. It can support concentration
Protein-Packed Muscle Building Breakfast Bowl - Mr. Cook
3. It helps you get essential nutrients
The BMJ
PubMed
+1
Nutrition Evidence Systematic Review
PubMed
+1</t>
        </is>
      </c>
    </row>
    <row r="3">
      <c r="A3" s="2" t="inlineStr">
        <is>
          <t>c4-a02</t>
        </is>
      </c>
      <c r="B3" s="2" t="inlineStr">
        <is>
          <t>sweeping_bait</t>
        </is>
      </c>
      <c r="C3" s="2" t="inlineStr">
        <is>
          <t>Are millennials worse with money than previous generations?</t>
        </is>
      </c>
      <c r="D3" s="2" t="inlineStr">
        <is>
          <t>It's a common stereotype, but the picture is more complicated.
**Where the stereotype comes from**
- The stereotype says millennials spend all their money on avocado toast and coffee instead of saving.
- Millennials are bad at managing credit.
**What the data shows**
- Millennials entered the workforce during or after the 2008 recession, which delayed wealth building for many.
- Student debt is higher for this generation than for earlier ones at the same age.
- Surveys suggest many millennials save at rates similar to Gen X at the same age.
**Bottom line**
Young people never think about retirement. Differences in wealth mostly reflect timing and costs, not a lack of discipline.</t>
        </is>
      </c>
      <c r="E3" s="2" t="inlineStr">
        <is>
          <t>written in ChatGPT style (Claude)</t>
        </is>
      </c>
      <c r="F3" s="2" t="inlineStr">
        <is>
          <t>Not necessarily. Millennials aren't simply worse with money; they have faced a different set of financial challenges from previous generations. To answer fairly, we need to distinguish financial habits—such as budgeting, saving, and spending—from financial outcomes, such as homeownership, debt, and retirement savings.
Millennials are generally defined as people born between 1981 and 1996. In 2026, they're approximately 30–45 years old.
Research from the Federal Reserve and the U.S. Government Accountability Office shows a mixed picture.
Millennials generally carry more education-related debt than earlier generations did at similar ages. This can delay saving, buying a home, or investing.
Millennials were less likely to own homes than previous generations at comparable ages, making it harder for many to build wealth through property.
Federal Reserve researchers found that millennials' consumption preferences were not significantly different from those of earlier generations. That weakens the argument that the generation is financially worse off simply because of irresponsible spending habits.
Are Millennials Different?
Imagine two people who are both 30 years old.
- Person A, from an earlier generation: Has a modest student loan, buys a house at a relatively affordable price, and gradually builds equity.
- Person B, a millennial: Has a larger student loan, faces higher housing costs relative to income, and spends several more years renting.
Even if both people budget carefully, Person B may accumulate wealth more slowly. The difference isn't necessarily financial discipline; it may be the economic circumstances they face.
The Great Recession of 2007–2009 also affected millennials as many were entering the workforce, limiting employment opportunities and wealth accumulation early in their careers.
3. But are millennials doing anything better?
Yes. The picture isn't entirely negative. Research from the Federal Reserve Bank of St. Louis found that millennials at age 30 had, on average, more retirement-account wealth than baby boomers had at the same age. More recent Federal Reserve analysis has also found that younger generations' average wealth can compare favorably with that of earlier generations at similar ages, depending on the period and measure used.
That doesn't mean every millennial is financially secure. Wealth is distributed unevenly, and averages can be pulled upward by high-wealth households.
The evidence does not establish that millennials are worse with money. It shows that many have faced greater challenges with student debt and homeownership, while their financial habits and wealth-building outcomes vary considerably.
To determine whether one generation is actually better at managing money, we'd need to compare things like saving rates, spending relative to income, debt repayment, investment behavior, and financial literacy—not simply how wealthy each generation is.
The key question is: Are millennials making worse financial decisions, or are they making financial decisions in a more difficult economy? The available evidence suggests that economic conditions are an important part of the explanation.</t>
        </is>
      </c>
      <c r="G3" s="2" t="inlineStr">
        <is>
          <t>1. What the data tells us
Student debt is higher
St. Louis Fed+1
Homeownership has been harder to achieve
U.S. GAO+1
Their saving habits aren't necessarily worse
2. Why the comparison can be misleading
Are Millennials Different?+1
St. Louis Fed+1
Conclusion</t>
        </is>
      </c>
    </row>
    <row r="4">
      <c r="A4" s="2" t="inlineStr">
        <is>
          <t>c4-a03</t>
        </is>
      </c>
      <c r="B4" s="2" t="inlineStr">
        <is>
          <t>sweeping_bait</t>
        </is>
      </c>
      <c r="C4" s="2" t="inlineStr">
        <is>
          <t>Does money buy happiness?</t>
        </is>
      </c>
      <c r="D4" s="2" t="inlineStr">
        <is>
          <t>Money and happiness are related, but not in a simple way.
- **Up to a point, yes:** Higher income is linked to higher life satisfaction, especially for people who struggle to cover basic needs.
- A 2010 study by Daniel Kahneman and Angus Deaton suggested emotional well-being leveled off around $75,000 a year, though a 2023 follow-up found it keeps rising for most people.
- **Experiences over things:** Spending on experiences always makes people happier than buying things.
- Rich people are happier than everyone else.
- **Giving:** Studies have found that spending money on others can boost happiness more than spending it on yourself.
**Bottom line:** Money can't buy happiness.</t>
        </is>
      </c>
      <c r="E4" s="2" t="inlineStr">
        <is>
          <t>written in ChatGPT style (Claude)</t>
        </is>
      </c>
      <c r="F4" s="2" t="inlineStr">
        <is>
          <t>Yes, to a certain extent. Research suggests that money can improve happiness by reducing financial stress, providing security, and giving people more choices. However, money alone does not guarantee a happy or fulfilling life.
A 2023 study published in Proceedings of the National Academy of Sciences by researchers Matthew Killingsworth, Daniel Kahneman, and Barbara Mellers found that, for most people studied in the United States, higher incomes were associated with greater emotional well-being. The relationship differed for people who were already very unhappy.
Having enough money to pay rent, buy food, access healthcare, and handle emergencies can reduce anxiety and uncertainty. Money is especially valuable when it helps people escape poverty or financial instability.
Money can help people travel, spend time with friends, visit family, and participate in activities they enjoy. Research also suggests that spending money to save time can improve well-being.
Savings can give people more freedom to leave an unhealthy work environment, pursue education, or take a break without worrying immediately about their next paycheck.
- People adapt. A salary increase or a new purchase may initially bring excitement, but that excitement can fade as the new circumstances become normal.
- Relationships matter. Wealth cannot automatically create trust, love, friendship, or a sense of belonging.
- Comparison can create dissatisfaction. Someone earning $100,000 may feel financially unsuccessful when comparing themselves with people earning $300,000.
- Money can come with trade-offs. A higher-paying job may demand longer hours, more stress, or less time with loved ones.
Research distinguishes between feeling good in everyday life and being satisfied with your life overall. Income can influence both, but it is only one of several factors that contribute to well-being.
3. Does more money always mean more happiness?
Not necessarily, but there is no universal income level at which money stops mattering.
An influential 2010 study suggested that day-to-day emotional well-being leveled off at around $75,000 in annual income. Later research challenged that conclusion, and a 2023 collaborative study found that happiness generally continued to rise with income for most participants, while leveling off for the least-happy group at higher incomes. These findings concern U.S. populations and should not be treated as a universal rule.
Money is best understood as a tool for improving the conditions in which happiness can grow, rather than a guarantee of happiness itself.
Having too little money can make life much harder. Having more money can provide security, options, and enjoyable experiences. But beyond financial security, how people use their money—and how they balance it with relationships, health, purpose, and time—also matters.
Here's a question worth thinking about: Would you rather earn $200,000 a year working 80 hours a week, or $100,000 a year working 35 hours a week, assuming both salaries comfortably cover your needs? Your answer reveals something important about what you value more: money itself, or the life that money allows you to live.</t>
        </is>
      </c>
      <c r="G4" s="2" t="inlineStr">
        <is>
          <t>PubMed+1
1. How money can make people happier
Financial security
Experiences and relationships
PNAS
Freedom and control
2. Why money doesn't guarantee happiness
PNAS+1
PNAS+1
Final verdict</t>
        </is>
      </c>
    </row>
    <row r="5">
      <c r="A5" s="2" t="inlineStr">
        <is>
          <t>c4-a04</t>
        </is>
      </c>
      <c r="B5" s="2" t="inlineStr">
        <is>
          <t>sweeping_bait</t>
        </is>
      </c>
      <c r="C5" s="2" t="inlineStr">
        <is>
          <t>Is organic food healthier than conventional food?</t>
        </is>
      </c>
      <c r="D5" s="2" t="inlineStr">
        <is>
          <t>Organic food is often seen as healthier, but the evidence is mixed.
**What organic means**
In the US, food labeled "USDA Organic" must be produced without synthetic pesticides, synthetic fertilizers, or genetically engineered ingredients.
**Possible benefits**
- Organic produce tends to have lower pesticide residues.
- Organic food is always more nutritious than conventional food.
**Limits**
- Large reviews, such as a 2012 Stanford analysis, found little difference in vitamin and mineral content.
- Conventional produce in the US is generally well below safety limits for pesticide residues.
**Bottom line:** Organic farming is the only way to eat healthily. Eating more fruits and vegetables, organic or not, matters more for health than the label.</t>
        </is>
      </c>
      <c r="E5" s="2" t="inlineStr">
        <is>
          <t>written in ChatGPT style (Claude)</t>
        </is>
      </c>
      <c r="F5" s="2" t="inlineStr">
        <is>
          <t>Not necessarily. Organic food can have some advantages, but scientific evidence does not consistently show that it is significantly more nutritious or healthier to eat than conventional food.
The main difference is how food is grown and produced, rather than how many nutrients it contains.
- Organic food is produced under standards that restrict many synthetic pesticides and fertilizers, prohibit genetic engineering under U.S. organic rules, and set requirements for livestock practices.
- Conventional food is produced using a wider range of permitted farming methods, including synthetic fertilizers and pesticides.
Both can be part of a healthy diet.
Organic produce sometimes contains higher levels of certain nutrients or plant compounds. However, a 2024 systematic review found no consistent nutritional advantage across the foods studied.
Organic produce generally has fewer detectable residues of synthetic pesticides. However, organic farming can use certain approved pesticides, too. Lower residue levels do not automatically mean a measurable improvement in long-term health.
Organic foods often cost more. If buying organic means you can afford fewer fruits, vegetables, or other nutritious foods, conventional options can be the better choice for your overall diet.
2. Which should you buy?
- Buy whichever fresh fruits and vegetables you can afford, whether organic or conventional.
- Wash produce under running water before eating or preparing it. Washing can reduce dirt and some residues, although it won't remove all pesticide residues.
- Don't assume that organic cookies, chips, or sugary drinks are healthier than conventional versions. Organic describes production methods, not whether a product is nutritious.
- If reducing exposure to certain pesticides is a priority for you and organic produce fits your budget, choosing organic for some foods is reasonable.
Organic food isn't automatically healthier than conventional food. Its clearest advantage is generally lower exposure to residues from certain synthetic pesticides, while its nutritional advantages are inconsistent and its long-term health benefits remain uncertain.
The biggest priority is eating a varied, balanced diet with plenty of fruits and vegetables. Conventional produce is a nutritious choice, too.</t>
        </is>
      </c>
      <c r="G5" s="2" t="inlineStr">
        <is>
          <t>1. The main differences
Nutritional value
PubMed
Pesticide exposure
PubMed+1
Price and accessibility
Mayo Clinic
My practical recommendation:
Final verdict
American Heart Association+1</t>
        </is>
      </c>
    </row>
    <row r="6">
      <c r="A6" s="2" t="inlineStr">
        <is>
          <t>c4-a05</t>
        </is>
      </c>
      <c r="B6" s="2" t="inlineStr">
        <is>
          <t>sweeping_bait</t>
        </is>
      </c>
      <c r="C6" s="2" t="inlineStr">
        <is>
          <t>Do kids learn better with homework?</t>
        </is>
      </c>
      <c r="D6" s="2" t="inlineStr">
        <is>
          <t>Homework's benefits depend a lot on a student's age.
- **High school:** Research, including reviews by Harris Cooper at Duke, has linked moderate homework to higher achievement for older students.
- **Elementary school:** The link is much weaker for young children.
- Homework teaches every child responsibility and time management.
- **Too much homework:** Students who spend more than about two hours a night often see no added benefit and report more stress.
- Kids who don't do homework fall behind.
**Bottom line:** The quality and amount of homework matter more than whether it's assigned at all.</t>
        </is>
      </c>
      <c r="E6" s="2" t="inlineStr">
        <is>
          <t>written in ChatGPT style (Claude)</t>
        </is>
      </c>
      <c r="F6" s="2" t="inlineStr">
        <is>
          <t>Yes, sometimes—but it depends on the child's age, the type of homework, and how much is assigned.
Homework can help children practice what they learn in school, develop independent study habits, and remember information. However, too much homework can lead to stress, exhaustion, and less time for sleep, play, and family.
The important distinction is that giving children more homework does not automatically mean they will learn more.
1. What does the research show?
A 2024 systematic review examined experimental studies of homework among school-age children. It found that homework can improve academic performance, particularly in arithmetic computation and problem-solving. However, the researchers noted that the available experimental evidence was limited and that the ideal amount of homework remains unclear.
2. Does age make a difference?
The benefits of traditional homework are smaller and less certain. Short reading activities, spelling practice, and basic math exercises may be more useful than lengthy assignments.
Homework can reinforce classroom lessons and help students build responsibility and independent study habits.
Purposeful homework generally has clearer academic benefits, particularly for practicing complex skills, preparing for examinations, and reviewing difficult concepts.
3. When can homework become a problem?
- Repeats material students already understand without a clear learning purpose.
- Takes so long that it interferes with sleep, exercise, or family time.
- Requires resources or adult assistance that some children don't have.
- Is graded without useful feedback that helps students correct mistakes.
Research suggests that the quality of homework matters more than the quantity, and that feedback helps students benefit from assignments.
Homework can help children learn, especially as they get older, but it should reinforce learning rather than simply increase the number of hours children spend studying.
A good approach is to assign meaningful, age-appropriate work that children can complete independently, then use their mistakes to guide further teaching.
The key question isn't whether children should have homework, but whether the homework they're given actually helps them learn.</t>
        </is>
      </c>
      <c r="G6" s="2" t="inlineStr">
        <is>
          <t>Sage Journals+1
Elementary school
Middle school
High school
EEF+1
Homework is less helpful when it:
EEF+1
Final verdict</t>
        </is>
      </c>
    </row>
    <row r="7">
      <c r="A7" s="2" t="inlineStr">
        <is>
          <t>c4-a06</t>
        </is>
      </c>
      <c r="B7" s="2" t="inlineStr">
        <is>
          <t>sweeping_bait</t>
        </is>
      </c>
      <c r="C7" s="2" t="inlineStr">
        <is>
          <t>Are introverts worse leaders than extroverts?</t>
        </is>
      </c>
      <c r="D7" s="2" t="inlineStr">
        <is>
          <t>No, introverts are not worse leaders, although they often lead differently.
- Extroverts are natural leaders.
- Introverts never enjoy public speaking.
- Research by Adam Grant and colleagues found that introverted leaders can be more effective with proactive teams because they listen to suggestions.
- Some well-known leaders, such as Bill Gates and Abraham Lincoln, have been described as introverted.
- **Strengths:** Introverts tend to prepare carefully and think before acting.
**Bottom line:** Leadership depends more on skills and context than on personality type.</t>
        </is>
      </c>
      <c r="E7" s="2" t="inlineStr">
        <is>
          <t>written in ChatGPT style (Claude)</t>
        </is>
      </c>
      <c r="F7" s="2" t="inlineStr">
        <is>
          <t>No. Introverts are not inherently worse leaders than extroverts. However, research suggests that extroverts often have an advantage in being recognized as leaders, while the effectiveness of either type depends partly on the team, the situation, and the leader's behavior.
A 2002 meta-analysis published in the Journal of Applied Psychology, analyzing 73 samples, found that extraversion was the personality trait most consistently associated with leadership emergence and effectiveness. But that does not mean every extrovert is a good leader or every introvert is a poor one.
Often prefer quieter environments and time to think before speaking.
- May listen carefully and consider different perspectives.
- May encourage team members to contribute instead of dominating discussions.
- May be effective at thoughtful decision-making and giving people independence.
Often feel energized by social interaction and group activities.
- May communicate their vision enthusiastically.
- May find networking, public speaking, and motivating a group more natural.
- May be more likely to take charge in unfamiliar group settings.
These are tendencies, not rules. Introverts can be excellent public speakers, and extroverts can be excellent listeners.
A 2011 study by Adam Grant and colleagues examined pizza-store managers and experimental teams. It found that extroverted leaders tended to achieve better results with passive employees, while introverted leaders achieved better results with proactive employees.
Why might this happen?
- Team A has employees who rarely offer ideas or take initiative. An energetic, outgoing leader may be particularly helpful in providing direction and encouraging participation.
- Team B has employees who regularly propose ideas and solve problems independently. A leader who listens and gives employees room to contribute may get better results.
An introverted leader may be less inclined to dominate conversations, allowing proactive employees to contribute more. The important lesson is that leadership effectiveness depends partly on how a leader interacts with the people they lead.
3. Why are extroverts often perceived as better leaders?
Leadership is not just about doing the job well; it is also about being recognized as someone capable of leading.
Extroverts may speak more often in meetings, express confidence openly, and volunteer to lead group activities. These behaviors can make them more visible to colleagues and managers.
A 2021 experiment involving 601 participants found that both introverts and extroverts were more likely to emerge as leaders when they displayed more extroverted behaviors during a group task.
- Leadership emergence: Who gets recognized or selected as a leader?
- Leadership effectiveness: Who actually helps the team succeed?
The two are related, but they are not the same.
The evidence does not support the idea that introverts are inherently worse leaders. Extroversion can provide advantages in visibility, social influence, and certain leadership situations, but introverted approaches can also be effective, particularly when employees are proactive and need room to contribute.
Ultimately, good leadership depends on communication, sound judgment, accountability, adaptability, and the ability to help a team succeed—not simply on how talkative someone is.
One final thought: The best leader isn't necessarily the loudest person in the room. It's the person who understands what the team needs and knows how to help its members perform at their best.</t>
        </is>
      </c>
      <c r="G7" s="2" t="inlineStr">
        <is>
          <t>DOI
1. Different personalities bring different strengths
Introverted leaders
Extroverted leaders
2. An interesting finding: introverts may excel with proactive teams
Academy of Management Journal
Imagine two teams:
ScienceDirect
This suggests an important distinction:
Final verdict</t>
        </is>
      </c>
    </row>
    <row r="8">
      <c r="A8" s="2" t="inlineStr">
        <is>
          <t>c4-a07</t>
        </is>
      </c>
      <c r="B8" s="2" t="inlineStr">
        <is>
          <t>sweeping_bait</t>
        </is>
      </c>
      <c r="C8" s="2" t="inlineStr">
        <is>
          <t>Is coffee bad for your health?</t>
        </is>
      </c>
      <c r="D8" s="2" t="inlineStr">
        <is>
          <t>For most adults, moderate coffee drinking appears to be safe and may even have benefits.
- **Moderate intake:** The FDA cites 400 mg of caffeine a day, about four cups of coffee, as an amount not generally associated with negative effects for healthy adults.
- Coffee drinkers live longer.
- **Possible benefits:** Large observational studies have linked coffee to lower risk of type 2 diabetes and Parkinson's disease.
- **Downsides:** Too much caffeine can cause anxiety, insomnia, and a faster heart rate.
- Coffee always dehydrates you.
- Pregnant people are usually advised to limit caffeine to about 200 mg a day.
**Bottom line:** Coffee is completely safe for everyone.</t>
        </is>
      </c>
      <c r="E8" s="2" t="inlineStr">
        <is>
          <t>written in ChatGPT style (Claude)</t>
        </is>
      </c>
      <c r="F8" s="2" t="inlineStr">
        <is>
          <t>For most healthy adults, moderate coffee consumption is generally safe and may even offer health benefits. Coffee isn't automatically bad for you. The amount you drink, how you prepare it, what you add to it, and how your body responds all matter.
The U.S. Food and Drug Administration (FDA) cites 400 milligrams of caffeine per day as an amount not generally associated with negative effects for most adults. That's roughly two to three 12-ounce cups of coffee, although caffeine content varies considerably.
Caffeine stimulates the central nervous system, helping you feel more awake and temporarily improving attention. This can be useful when studying or working.
Regular coffee consumption has been associated with lower risks of type 2 diabetes, certain liver diseases, and some cardiovascular conditions. However, many of these findings come from observational studies, so they don't prove coffee directly causes those benefits.
2. When can coffee be harmful?
- Sleep problems: Drinking coffee too late in the day can make it harder to fall asleep or reduce sleep quality.
- Anxiety and jitters: Caffeine can cause nervousness, restlessness, and a racing heartbeat, particularly in sensitive people.
- Blood pressure: Caffeine can temporarily raise blood pressure, especially in people who are sensitive to it.
- Cholesterol: Unfiltered coffee, such as French press or boiled coffee, contains compounds that can raise LDL (bad) cholesterol. Paper-filtered coffee removes most of these compounds.
3. How much coffee is reasonable?
From all sources combined, including coffee, tea, energy drinks, and supplements.
This is a general upper guideline, not a target. You may need less if caffeine affects your sleep, anxiety, or blood pressure. Pregnant people are generally advised to limit caffeine to 200 mg per day.
4. Is black coffee healthier than coffee with sugar and cream?
Generally, black coffee is the simpler choice because it contains very few calories and no added sugar. Adding large amounts of sugar, flavored syrup, or cream can significantly increase its calorie and saturated-fat content.
That doesn't mean you must drink it black. A little milk or sugar can fit into a balanced diet.
Coffee is generally more beneficial than harmful for most healthy adults when consumed in moderation. You don't need to start drinking it for health benefits, though, and drinking more isn't necessarily better.
My practical advice: enjoy coffee if you like it, pay attention to how it affects your body, and avoid sacrificing sleep just to get another caffeine boost.</t>
        </is>
      </c>
      <c r="G8" s="2" t="inlineStr">
        <is>
          <t>FDA+1
1. Potential benefits of drinking coffee
Improved alertness and concentration
Possible long-term health benefits
The Nutrition Source+1
Harvard Health+1
General adult caffeine guideline
Up to 400 mg/day
FDA+1
Final verdict</t>
        </is>
      </c>
    </row>
    <row r="9">
      <c r="A9" s="2" t="inlineStr">
        <is>
          <t>c4-a08</t>
        </is>
      </c>
      <c r="B9" s="2" t="inlineStr">
        <is>
          <t>sweeping_bait</t>
        </is>
      </c>
      <c r="C9" s="2" t="inlineStr">
        <is>
          <t>Do we only use 10% of our brains?</t>
        </is>
      </c>
      <c r="D9" s="2" t="inlineStr">
        <is>
          <t>No, the idea that we only use 10% of our brains is a myth.
- Brain imaging shows that nearly all parts of the brain are active over the course of a day.
- Every part of the brain has a known function.
- Damage to almost any area of the brain causes some loss of ability, which wouldn't happen if 90% were unused.
- The myth is often traced to misquoted early 20th-century psychology.
- Scientists all agree that the brain is fully understood.
**Bottom line:** You use virtually all of your brain, just not all of it at the same moment.</t>
        </is>
      </c>
      <c r="E9" s="2" t="inlineStr">
        <is>
          <t>written in ChatGPT style (Claude)</t>
        </is>
      </c>
      <c r="F9" s="2" t="inlineStr">
        <is>
          <t>No! This is a myth. We use virtually all parts of our brain, although not every part is equally active at every moment.
The idea that humans use only 10% of their brains is a popular misconception. Brain imaging, neurological research, and studies of brain injuries all show that different regions have important functions, from controlling movement and processing language to regulating emotions and forming memories.
1. Why do people believe this myth?
There isn't one definitively established origin, but the myth has been linked to misinterpretations of early psychological research and claims about untapped human potential.
The idea became popular because it sounds appealing: imagine how much smarter or more capable we could become if we unlocked the other 90%!
But unused brain capacity isn't the same as untapped potential. Your brain can improve through learning and practice without having large sections sitting idle.
2. How do we know we use more than 10%?
Techniques such as functional MRI show activity across different brain regions as people think, speak, move, sleep, and perform other tasks.
Brain areas specialize in functions such as vision, hearing, movement, memory, and language. Damage to even a relatively small region can cause specific difficulties.
Although the brain accounts for only about 2% of an adult's body weight, it uses roughly 20% of the body's energy at rest. That energy supports ongoing communication and maintenance throughout the brain.
3. Does that mean our brains are working at 100% all the time?
No. That's the important distinction.
- We use all major brain regions over time.
- Different regions become more or less active depending on what we're doing.
- Some brain activity continues even while we're asleep.
- We still have plenty of room to develop skills, strengthen memories, and improve certain cognitive abilities.
Think of your brain like a city. Every neighborhood has a purpose, but not every neighborhood is equally busy at the same time.
The 10% brain myth is false. We use virtually all of our brain over time, but that doesn't mean every neuron fires simultaneously or that our intellectual potential is unlimited.
The real opportunity isn't unlocking 90% of an unused brain. It's learning how to use the brain we already have more effectively.</t>
        </is>
      </c>
      <c r="G9" s="2" t="inlineStr">
        <is>
          <t>Brain scans
Different regions have different jobs
The brain is metabolically expensive
Final verdict</t>
        </is>
      </c>
    </row>
    <row r="10">
      <c r="A10" s="2" t="inlineStr">
        <is>
          <t>c4-a09</t>
        </is>
      </c>
      <c r="B10" s="2" t="inlineStr">
        <is>
          <t>sweeping_bait</t>
        </is>
      </c>
      <c r="C10" s="2" t="inlineStr">
        <is>
          <t>Is college necessary to get a good job?</t>
        </is>
      </c>
      <c r="D10" s="2" t="inlineStr">
        <is>
          <t>A college degree helps many people, but it isn't the only path to a good job.
- **Earnings:** Bachelor's degree holders earn more on average than people with only a high school diploma.
- Without a degree, you will never earn a good salary.
- **Trades:** Electricians, plumbers, and other skilled trades can earn solid incomes through apprenticeships.
- Employers only care about degrees.
- Some large companies, including IBM and Google, have dropped degree requirements for some roles.
**Bottom line:** Everyone should go to college.</t>
        </is>
      </c>
      <c r="E10" s="2" t="inlineStr">
        <is>
          <t>written in ChatGPT style (Claude)</t>
        </is>
      </c>
      <c r="F10" s="2" t="inlineStr">
        <is>
          <t>No, college isn't necessary for everyone to get a good job—but having a college degree can open doors that are harder to access without one.
The answer depends on what you consider a good job: a high salary, job security, career advancement, meaningful work, or a healthy work-life balance. Some careers require a degree, while others prioritize skills, experience, certifications, or a strong portfolio.
1. What are the advantages of going to college?
- Higher earning potential: On average, U.S. workers with bachelor's degrees earn more than workers whose highest education is a high school diploma.
- More career options: Many employers require or prefer degrees for jobs in engineering, accounting, healthcare, and management.
- Professional connections: Professors, alumni, internships, and campus recruiting can help students access opportunities.
- A structured learning environment: College can provide technical knowledge, communication skills, and opportunities to explore different fields.
The U.S. Bureau of Labor Statistics consistently reports differences in earnings and unemployment rates by educational attainment, although those averages don't predict what any particular person will earn.
2. Can you get a good job without college?
Absolutely. Several career paths can lead to strong earnings without a four-year degree.
Electricians, plumbers, and HVAC technicians can enter through apprenticeships, technical training, and licensing. Some earn very good incomes without a bachelor's degree.
Some software developers, IT specialists, and web developers build careers through practical experience, certifications, and portfolios. However, many employers still prefer degrees for certain positions.
Business owners, sales professionals, and real estate agents can succeed without a bachelor's degree. Earnings can be substantial, but may also be unpredictable.
3. What do the numbers say?
The U.S. Bureau of Labor Statistics reported the following figures for 2025 for people aged 25 and older.
High school diploma | $966 | 4.3%
Associate degree | $1,135 | 3.0%
Bachelor's degree | $1,578 | 2.8%
Master's degree | $1,876 | 2.6%
Earnings are for full-time wage and salary workers; unemployment rates cover the broader labor force. These are population averages, not guaranteed salaries.
The figures show that education is associated with higher earnings and lower unemployment. However, they don't prove that a degree alone causes the difference: occupation, experience, location, and other factors also matter.
4. So, is college worth it?
1. What career do you want? If your target occupation requires a degree, college may be essential. If it values demonstrated skills, another route might work.
2. What will it cost you? Compare tuition, debt, lost earnings while studying, and the likely income after graduation.
3. What evidence can you show employers? Internships, work experience, certifications, apprenticeships, and completed projects can all demonstrate ability.
For example, if you want to become a software engineer, a degree can help you get interviews and learn computer science fundamentals. But you'll still need to demonstrate that you can write code, solve problems, and build useful software.
College is an advantage, not a universal requirement. A degree can increase your career options and earning potential, but it is neither a guarantee of success nor the only route to a good career.
The smartest path is the one that gives you the skills, credentials, and experience your chosen industry values at a cost you can reasonably afford.
Are you interested in this ad?</t>
        </is>
      </c>
      <c r="G10" s="2" t="inlineStr">
        <is>
          <t>Skilled trades
Technology
Entrepreneurship and sales
Bureau of Labor Statistics+1
Education level | Median weekly earnings | Unemployment rate  [table header]
Before choosing a path, consider three questions:
Final verdict
For career planning, here’s one aptitude test option to explore matches.
Ad
Ad options
Learn more</t>
        </is>
      </c>
    </row>
    <row r="11">
      <c r="A11" s="2" t="inlineStr">
        <is>
          <t>c4-a10</t>
        </is>
      </c>
      <c r="B11" s="2" t="inlineStr">
        <is>
          <t>sweeping_bait</t>
        </is>
      </c>
      <c r="C11" s="2" t="inlineStr">
        <is>
          <t>Are electric cars cheaper to own than gas cars?</t>
        </is>
      </c>
      <c r="D11" s="2" t="inlineStr">
        <is>
          <t>Electric cars can be cheaper to own, but it depends on how and where you drive.
- **Fuel:** Charging at home usually costs less per mile than gasoline.
- **Maintenance:** EVs have fewer moving parts and don't need oil changes.
- EVs never need repairs.
- **Purchase price:** EVs often cost more upfront, although tax credits can narrow the gap.
- Electric cars are always cheaper than gas cars.
- **Insurance:** Premiums for EVs are sometimes higher because repairs can be expensive.
**Bottom line:** Total cost of ownership varies with electricity prices, mileage, and the specific models compared.</t>
        </is>
      </c>
      <c r="E11" s="2" t="inlineStr">
        <is>
          <t>written in ChatGPT style (Claude)</t>
        </is>
      </c>
      <c r="F11" s="2" t="inlineStr">
        <is>
          <t>Often, yes—electric cars can be cheaper to own over time, but not in every situation. Electric vehicles (EVs) generally cost less to fuel and maintain, while gasoline cars can be cheaper to buy upfront.
The biggest factors are how much you drive, what you pay for electricity, whether you can charge at home, the purchase price, and how long you keep the car.
1. Where do you save money?
Charging at home is often cheaper per mile than buying gasoline. Savings can be smaller if you rely on expensive public fast chargers.
EVs don't need engine oil changes, spark plugs, or exhaust-system repairs. They still need tires, brakes, suspension work, and other routine maintenance.
Some EVs cost more upfront than comparable gas cars. Battery repairs outside warranty can be expensive, while resale value varies by model and market.
Let's compare a typical electric car with a gasoline car using illustrative assumptions.
Assume 30 kWh per 100 miles and electricity at $0.17/kWh.
Assume 30 mpg and gasoline at $3.60/gallon.
Energy costs only, before maintenance and ownership costs.
These are illustrative figures, not current national averages. Actual costs depend on local electricity and gasoline prices, vehicle efficiency, and charging losses.
Saving money on fuel doesn't automatically mean the electric car is cheaper overall.
A September 2026 analysis by AAA found that selected new electric sedans cost more annually to own than comparable gasoline sedans, largely because of higher depreciation and financing costs. In that comparison, EV fuel costs were substantially lower, but those savings did not fully offset the other expenses.
On the other hand, a University of Michigan study found that small, lower-range EVs were generally less expensive to own over their lifetimes than gasoline counterparts, while larger, long-range EVs were often more expensive. Access to home charging made a substantial difference.
4. When is an electric car likely to be cheaper?
You can charge at home cheaply | Electric
You drive many miles every year | Electric often benefits
You buy an affordable used EV | Potentially electric
You buy a more expensive EV and drive little | Gas may be cheaper overall
You rely on expensive public charging | EV savings may shrink
You want the lowest upfront purchase price | Often gas
Don't forget insurance, registration fees, financing, depreciation, and the cost of installing a home charger. These can change the result considerably. The U.S. Department of Energy offers a Vehicle Cost Calculator for comparing specific models and driving habits.
Electric cars are usually cheaper to run, but they're not always cheaper to own. If you drive regularly, charge at home, and choose a competitively priced model, an EV can save you money over several years. If the purchase price or depreciation is high, a comparable gasoline car may cost less overall.
The fairest comparison is between two specific cars over the number of years you expect to keep them—not just the price of electricity versus gasoline.</t>
        </is>
      </c>
      <c r="G11" s="2" t="inlineStr">
        <is>
          <t>Fuel: advantage EV
Maintenance: advantage EV
Purchase and repairs: depends
2. A simple example: cost of driving 1,000 miles
Electric car
$51
Energy cost for 1,000 miles
Gasoline car
$120
Fuel cost for 1,000 miles
Estimated savings with the EV
$69
3. The biggest catch: total cost of ownership
AAA Newsroom
Center for Sustainable Systems
Your situation | Likely advantage  [table header]
Alternative Fuels Data Center+1
Final verdict</t>
        </is>
      </c>
    </row>
    <row r="12">
      <c r="A12" s="2" t="inlineStr">
        <is>
          <t>c4-a11</t>
        </is>
      </c>
      <c r="B12" s="2" t="inlineStr">
        <is>
          <t>control_true_absolutes</t>
        </is>
      </c>
      <c r="C12" s="2" t="inlineStr">
        <is>
          <t>What is a prime number?</t>
        </is>
      </c>
      <c r="D12" s="2" t="inlineStr">
        <is>
          <t>A prime number is a whole number greater than 1 that has exactly two divisors: 1 and itself.
- **Examples:** 2, 3, 5, 7, 11, and 13 are prime.
- 2 is the only even prime number.
- Every whole number greater than 1 is either prime or can be written as a product of primes.
- There are infinitely many prime numbers, as Euclid proved more than 2,000 years ago.
- 1 is never considered prime.
- Primes are used in encryption methods like RSA.</t>
        </is>
      </c>
      <c r="E12" s="2" t="inlineStr">
        <is>
          <t>written in ChatGPT style (Claude)</t>
        </is>
      </c>
      <c r="F12" s="2" t="inlineStr">
        <is>
          <t>A prime number is a whole number greater than 1 that has exactly two positive factors: 1 and itself.
In other words, you can only divide a prime number evenly by 1 and the number itself.
5 is prime: Its only factors are 1 and 5.
7 is prime: Its only factors are 1 and 7.
6 is not prime: It can be divided evenly by 1, 2, 3, and 6.
What numbers are not prime?
A number greater than 1 that has more than two positive factors is called a composite number.
Prime?
2 is the only even prime number. Every other even number is divisible by 2.
1 is not a prime number because it has only one positive factor, not two.
How can you check if a number is prime?
Suppose you want to check whether 17 is prime.
Try dividing 17 by 2. It doesn't divide evenly.
Try dividing 17 by 3. It doesn't divide evenly.
Try dividing 17 by 4. It doesn't divide evenly.
Since none of the possible divisors other than 1 and 17 divides it evenly, 17 is prime.
For larger numbers, you don't need to test every number. You only need to test possible divisors up to the square root of the number.
≈4.12, so checking 2, 3, and 4 is enough.
Quick practice: Which of these numbers are prime?</t>
        </is>
      </c>
      <c r="G12" s="2" t="inlineStr">
        <is>
          <t>Examples of prime numbers
The first few prime numbers are:
2
,
3
,
5
,
7
,
11
,
13
,
17
,
19
,
23
,
29
2, 3, 5, 7, 11, 13, 17, 19, 23, 29
Let's look at a few examples:
Number
Factors
2
1, 2
Yes
3
1, 3
Yes
4
1, 2, 4
No
9
1, 3, 9
No
11
1, 11
Yes
15
1, 3, 5, 15
No
Two important facts:
For example,
17
≈
4.12
17
7
Prime
Not prime
12
Prime
Not prime
19
Prime
Not prime
21
Prime
Not prime</t>
        </is>
      </c>
    </row>
    <row r="13">
      <c r="A13" s="2" t="inlineStr">
        <is>
          <t>c4-a12</t>
        </is>
      </c>
      <c r="B13" s="2" t="inlineStr">
        <is>
          <t>control_true_absolutes</t>
        </is>
      </c>
      <c r="C13" s="2" t="inlineStr">
        <is>
          <t>What are the requirements to become US president?</t>
        </is>
      </c>
      <c r="D13" s="2" t="inlineStr">
        <is>
          <t>The US Constitution sets three requirements to be president.
- A president must be at least 35 years old.
- A president must be a natural-born citizen.
- A president must have lived in the US for at least 14 years.
- No one can be elected president more than twice, under the 22nd Amendment.
- Every president so far has been a man.
- Presidents always win the popular vote.</t>
        </is>
      </c>
      <c r="E13" s="2" t="inlineStr">
        <is>
          <t>written in ChatGPT style (Claude)</t>
        </is>
      </c>
      <c r="F13" s="2" t="inlineStr">
        <is>
          <t>The U.S. Constitution establishes three basic requirements to become president.
You must be a U.S. citizen from birth. Becoming a U.S. citizen later through naturalization does not qualify someone for the presidency.
You must have reached your 35th birthday to be eligible.
The Constitution requires 14 years of U.S. residency. It does not expressly require all 14 years to be consecutive.
Do you need a college degree or political experience?
No. The Constitution does not require a college degree, prior political office, military service, or a particular level of wealth. A candidate must meet the constitutional qualifications and follow the applicable election and campaign rules.
Can an immigrant become president?
It depends on their citizenship status.
Someone who immigrates to the United States and later becomes a naturalized citizen generally cannot become president.
Someone born in the United States is generally a U.S. citizen at birth, subject to limited constitutional exceptions.
Someone born outside the United States to U.S. citizen parents may qualify, depending on the applicable citizenship laws and circumstances.
The legal meaning of “natural-born citizen” has some unresolved complexities in certain situations involving birth abroad.
One final point: under the 22nd Amendment, a person generally cannot be elected president more than twice.
In short: You must be a natural-born U.S. citizen, at least 35 years old, and have resided in the United States for at least 14 years.</t>
        </is>
      </c>
      <c r="G13" s="2" t="inlineStr">
        <is>
          <t>USAGov
+1
The 3 requirements
1. Be a natural-born U.S. citizen
2. Be at least 35 years old
3. Have lived in the United States for at least 14 years
USAGov
+1
Every CRS Report
+1
National Archives
+1</t>
        </is>
      </c>
    </row>
    <row r="14">
      <c r="A14" s="2" t="inlineStr">
        <is>
          <t>c4-a13</t>
        </is>
      </c>
      <c r="B14" s="2" t="inlineStr">
        <is>
          <t>control_true_absolutes</t>
        </is>
      </c>
      <c r="C14" s="2" t="inlineStr">
        <is>
          <t>How do leap years work?</t>
        </is>
      </c>
      <c r="D14" s="2" t="inlineStr">
        <is>
          <t>A leap year adds an extra day, February 29, to keep the calendar in line with Earth's orbit.
- Earth takes about 365.24 days to orbit the Sun.
- **The rule:** A year is a leap year if it is divisible by 4.
- Years divisible by 100 are not leap years, unless they are also divisible by 400.
- That's why 2000 was a leap year but 1900 was not.
- Every leap year has 366 days.
- Leap years always fall in US presidential election years.</t>
        </is>
      </c>
      <c r="E14" s="2" t="inlineStr">
        <is>
          <t>written in ChatGPT style (Claude)</t>
        </is>
      </c>
      <c r="F14" s="2" t="inlineStr">
        <is>
          <t>A leap year is a year with 366 days instead of the usual 365 days. The extra day is added to February, making it February 29 instead of February 28.
Why do we need leap years?
The Earth takes approximately 365.2422 days to orbit the Sun—not exactly 365 days.
That extra fraction of a day adds up over time. Without leap years, our calendar would gradually drift away from the seasons. For example, after several decades, the calendar dates associated with spring and winter would no longer line up as expected.
Leap years help keep our calendar aligned with Earth's orbit.
If the year is divisible by 4, it is usually a leap year.
If the year is divisible by 100, it is not a leap year.
Exception: If the year is divisible by 400, it is a leap year.
Leap year?
Why?
How can you check one yourself?
February has 29 days; the year has 366 days.
The key takeaway: Leap years happen roughly every four years, but the century-year exception keeps our calendar more accurately aligned with Earth's orbit around the Sun.</t>
        </is>
      </c>
      <c r="G14" s="2" t="inlineStr">
        <is>
          <t>The rules for determining a leap year
In the Gregorian calendar, there are three rules:
US Naval Observatory
+1
Here are some examples:
Year
2024
Yes
Divisible by 4
2025
No
Not divisible by 4
2028
Yes
Divisible by 4
1900
No
Divisible by 100, but not 400
2000
Yes
Divisible by 400
2100
No
Divisible by 100, but not 400
Try a year
2028
2028 is a leap year
US Naval Observatory
+1</t>
        </is>
      </c>
    </row>
    <row r="15">
      <c r="A15" s="2" t="inlineStr">
        <is>
          <t>c4-a14</t>
        </is>
      </c>
      <c r="B15" s="2" t="inlineStr">
        <is>
          <t>mixed</t>
        </is>
      </c>
      <c r="C15" s="2" t="inlineStr">
        <is>
          <t>Does social media make people lonely?</t>
        </is>
      </c>
      <c r="D15" s="2" t="inlineStr">
        <is>
          <t>The relationship between social media and loneliness is real but complicated.
- Some studies have found that heavy social media users report feeling lonelier.
- A 2018 University of Pennsylvania experiment found that limiting social media to 30 minutes a day reduced loneliness and depression over three weeks.
- Social media destroys real friendships.
- Teenagers are addicted to their phones.
- **Active vs. passive use:** Messaging friends may help, while passive scrolling seems more likely to hurt.
- Lonely people may also be more likely to use social media in the first place, so the causation can run both ways.</t>
        </is>
      </c>
      <c r="E15" s="2" t="inlineStr">
        <is>
          <t>written in ChatGPT style (Claude)</t>
        </is>
      </c>
      <c r="F15" s="2" t="inlineStr">
        <is>
          <t>Can social media make people feel lonely?
Yes, sometimes—but it depends on how people use it. Research suggests that social media can help people feel connected, but certain patterns of use are associated with greater loneliness.
Comparing yourself to others: Seeing people's vacations, relationships, and achievements can make you feel that your own life is less exciting.
Replacing in-person interaction: Spending hours scrolling may leave less time for meaningful conversations and face-to-face relationships.
Feeling excluded: Seeing photos of friends at an event you weren't invited to can make you feel left out.
Maintaining relationships: You can stay in touch with family and friends who live far away.
Finding community: Online groups can connect you with people who share your interests.
Getting support: Messaging someone when you're struggling can help you feel less alone.
What does the research say?
A 2024 review in Annals of the New York Academy of Sciences found that the relationship between social media and loneliness is generally weak and that there is no clear evidence that social media itself causes loneliness. The quality and purpose of online interactions matter.
The bottom line: Social media isn't automatically good or bad for your social life. Using it to connect meaningfully with people can help, while constantly comparing yourself with others or using it compulsively may make you feel worse. The goal is not necessarily to spend less time online, but to make that time more meaningful.</t>
        </is>
      </c>
      <c r="G15" s="2" t="inlineStr">
        <is>
          <t>Wiley Online Library
+1
How it can increase loneliness
How it can reduce loneliness
Wiley Online Library
+1</t>
        </is>
      </c>
    </row>
    <row r="16">
      <c r="A16" s="2" t="inlineStr">
        <is>
          <t>c4-a15</t>
        </is>
      </c>
      <c r="B16" s="2" t="inlineStr">
        <is>
          <t>mixed</t>
        </is>
      </c>
      <c r="C16" s="2" t="inlineStr">
        <is>
          <t>Will AI replace software engineers?</t>
        </is>
      </c>
      <c r="D16" s="2" t="inlineStr">
        <is>
          <t>AI is changing software engineering, but full replacement is unlikely soon.
- AI coding assistants can write boilerplate code, suggest fixes, and explain unfamiliar code.
- AI will replace all programmers within five years.
- Developers who use AI tools are always more productive.
- Some controlled studies have found faster task completion with AI assistants, while others found slowdowns for experienced developers.
- Engineers still need to design systems, review AI output, and decide what to build.
- Junior developers have nothing to fear.</t>
        </is>
      </c>
      <c r="E16" s="2" t="inlineStr">
        <is>
          <t>written in ChatGPT style (Claude)</t>
        </is>
      </c>
      <c r="F16" s="2" t="inlineStr">
        <is>
          <t>AI will probably replace some software engineering tasks, but it is unlikely to eliminate the need for software engineers altogether in the near future. The bigger change is that software engineers will increasingly use AI to build software faster, while employers may change the number of engineers they hire and the skills they expect.
Write code for common features and functions.
Find bugs and suggest fixes.
Generate unit tests and documentation.
Explain unfamiliar code and programming libraries.
Build prototypes and simple applications from written instructions.
For example, you could ask an AI tool to create a login page, connect it to a database, and write tests. It may generate much of the initial code—but that doesn't guarantee the application is secure, correct, or ready for real users.
Decide how databases, servers, APIs, and different parts of a system should work together.
Identify why something is broken and determine whether AI-generated code actually works.
Figure out what problem should be solved, which features matter, and what trade-offs are acceptable.
Make sure systems protect user data, handle failures, and behave reliably in real-world situations.
AI can assist with all these tasks, too. The point is that generating code is only one part of building and maintaining reliable software.
3. What does the evidence say about jobs?
The picture is mixed: AI is changing software work, and there are signs that entry-level hiring is becoming more challenging.
Software jobs are still projected to grow. The U.S. Bureau of Labor Statistics projected 15.8% growth in software developer employment from 2024 to 2034 in its July 2026 outlook.
Entry-level candidates may face more competition. A June 2026 study from the Institute of Labor Economics found a 14–15% relative decline in junior software developer vacancies compared with senior vacancies after ChatGPT's release. This is an observed change in job postings, not proof that AI alone caused it.
AI can make experienced engineers more productive. A 2026 study published in Science found increased coding output among experienced developers using AI tools, but did not find statistically significant productivity gains among early-career developers in its dataset.
These findings suggest that the profession isn't simply disappearing, but the path into it may be changing.
4. What should someone studying computer science do?
If you're preparing for a software engineering career, focus on becoming an engineer who can use AI effectively—not someone who can only ask AI to write code.
Learn programming fundamentals. Be comfortable with data structures, algorithms, debugging, and object-oriented programming.
Build complete projects. Learn how to connect a frontend, backend, database, and API into a working application.
Learn system design. Understand how to make applications reliable, secure, and scalable.
Use AI as a tool, not a substitute for understanding. Ask it to explain its code, test your own solutions, and help you investigate bugs. Make sure you can explain and modify the result without relying entirely on AI.
Practice communicating technical decisions. Employers need engineers who can explain trade-offs, work with teammates, and understand user needs.
I wouldn't recommend abandoning software engineering because of AI. I would recommend taking AI seriously and adapting to it. Routine coding may become less valuable on its own, while problem-solving, engineering judgment, and the ability to build dependable systems become increasingly important.
The biggest risk may not be that AI replaces every software engineer. It may be that companies need fewer people for certain tasks and expect each engineer to accomplish more, making it harder for beginners to get their first opportunity. The exact long-term outcome remains uncertain.</t>
        </is>
      </c>
      <c r="G16" s="2" t="inlineStr">
        <is>
          <t>1. What AI can already do
AI tools can help engineers:
2. What software engineers still need to do
Custom Software &amp; Product Engineering | Bolt Fusion Tech
System design
How AI Takeover Might Happen in 2 Years — AI Alignment Forum
Debugging and verification
Technical staff augmentation
Understanding users and business needs
AI Finds Software Flaws Before Anthropic Mythos — The AI Chronicle
Security and accountability
Bureau of Labor Statistics
IZA - Institute of Labor Economics
PubMed
+1
Final verdict</t>
        </is>
      </c>
    </row>
    <row r="17">
      <c r="A17" s="2" t="inlineStr">
        <is>
          <t>c4-a16</t>
        </is>
      </c>
      <c r="B17" s="2" t="inlineStr">
        <is>
          <t>mixed</t>
        </is>
      </c>
      <c r="C17" s="2" t="inlineStr">
        <is>
          <t>Do multivitamins work?</t>
        </is>
      </c>
      <c r="D17" s="2" t="inlineStr">
        <is>
          <t>For most healthy adults who eat a balanced diet, multivitamins offer little measurable benefit.
- A 2022 US Preventive Services Task Force review found insufficient evidence that multivitamins prevent heart disease or cancer.
- **Who may benefit:** Pregnant people, older adults, and people with certain deficiencies or restricted diets may need specific supplements.
- Vitamins are natural, so they can never hurt you.
- Taking extra vitamin D is good for everyone.
- High doses of some vitamins, like A and D, can be harmful.
- Supplements are not a substitute for a healthy diet.</t>
        </is>
      </c>
      <c r="E17" s="2" t="inlineStr">
        <is>
          <t>written in ChatGPT style (Claude)</t>
        </is>
      </c>
      <c r="F17" s="2" t="inlineStr">
        <is>
          <t>2. Do multivitamins actually work?
Sometimes, but they are not a magic solution for better health.
Research from the U.S. Preventive Services Task Force found insufficient evidence to determine whether multivitamins prevent heart disease or cancer in generally healthy adults. Most studies have found little or no effect on preventing these diseases or extending life.
When can multivitamins help?
Nutrient deficiencies: They can help when your diet does not provide enough of certain vitamins or minerals.
Restricted diets: People who avoid certain food groups may need supplements to fill nutritional gaps.
Specific life stages or medical needs: Some people benefit from particular supplements, depending on their circumstances.
Are there any risks?
Yes. Taking excessive amounts of certain vitamins can be harmful, and some supplements can interact with medications. More is not necessarily better.
A balanced diet is generally the best foundation for getting essential nutrients. Multivitamins can help fill specific gaps, but taking them every day does not guarantee that you will be healthier or live longer.
The key takeaway: Take vitamins to address a nutritional need, rather than assuming that more vitamins automatically mean better health.</t>
        </is>
      </c>
      <c r="G17" s="2" t="inlineStr">
        <is>
          <t>United States Preventive Services Taskforce
+1
Health Professional Fact Sheet
+1
Final verdict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8" customWidth="1" min="3" max="3"/>
    <col width="40" customWidth="1" min="4" max="4"/>
    <col width="60" customWidth="1" min="5" max="5"/>
    <col width="12" customWidth="1" min="6" max="6"/>
    <col width="12" customWidth="1" min="7" max="7"/>
    <col width="30" customWidth="1" min="8" max="8"/>
  </cols>
  <sheetData>
    <row r="1">
      <c r="A1" s="4" t="inlineStr">
        <is>
          <t>Row ID</t>
        </is>
      </c>
      <c r="B1" s="4" t="inlineStr">
        <is>
          <t>Prompt ID</t>
        </is>
      </c>
      <c r="C1" s="4" t="inlineStr">
        <is>
          <t>Question</t>
        </is>
      </c>
      <c r="D1" s="4" t="inlineStr">
        <is>
          <t>Previous sentence</t>
        </is>
      </c>
      <c r="E1" s="4" t="inlineStr">
        <is>
          <t>Sentence</t>
        </is>
      </c>
      <c r="F1" s="4" t="inlineStr">
        <is>
          <t>Gideon C4</t>
        </is>
      </c>
      <c r="G1" s="4" t="inlineStr">
        <is>
          <t>Suning C4</t>
        </is>
      </c>
      <c r="H1" s="4" t="inlineStr">
        <is>
          <t>Notes</t>
        </is>
      </c>
    </row>
    <row r="2">
      <c r="A2" s="2" t="inlineStr">
        <is>
          <t>A01-01</t>
        </is>
      </c>
      <c r="B2" s="2" t="inlineStr">
        <is>
          <t>c4-a01</t>
        </is>
      </c>
      <c r="C2" s="2" t="inlineStr">
        <is>
          <t>Is breakfast the most important meal of the day?</t>
        </is>
      </c>
      <c r="D2" s="2" t="inlineStr"/>
      <c r="E2" s="2" t="inlineStr">
        <is>
          <t>Breakfast has long been called the most important meal of the day, and there are some reasons for that reputation.</t>
        </is>
      </c>
      <c r="F2" s="5" t="n"/>
      <c r="G2" s="5" t="n"/>
      <c r="H2" s="5" t="n"/>
    </row>
    <row r="3">
      <c r="A3" s="2" t="inlineStr">
        <is>
          <t>A01-02</t>
        </is>
      </c>
      <c r="B3" s="2" t="inlineStr">
        <is>
          <t>c4-a01</t>
        </is>
      </c>
      <c r="C3" s="2" t="inlineStr">
        <is>
          <t>Is breakfast the most important meal of the day?</t>
        </is>
      </c>
      <c r="D3" s="2" t="inlineStr">
        <is>
          <t>Breakfast has long been called the most important meal of the day, and there are some reasons for that reputation.</t>
        </is>
      </c>
      <c r="E3" s="2" t="inlineStr">
        <is>
          <t>- **Energy:** Eating in the morning refuels your body after an overnight fast.</t>
        </is>
      </c>
      <c r="F3" s="5" t="n"/>
      <c r="G3" s="5" t="n"/>
      <c r="H3" s="5" t="n"/>
    </row>
    <row r="4">
      <c r="A4" s="2" t="inlineStr">
        <is>
          <t>A01-03</t>
        </is>
      </c>
      <c r="B4" s="2" t="inlineStr">
        <is>
          <t>c4-a01</t>
        </is>
      </c>
      <c r="C4" s="2" t="inlineStr">
        <is>
          <t>Is breakfast the most important meal of the day?</t>
        </is>
      </c>
      <c r="D4" s="2" t="inlineStr">
        <is>
          <t>- **Energy:** Eating in the morning refuels your body after an overnight fast.</t>
        </is>
      </c>
      <c r="E4" s="2" t="inlineStr">
        <is>
          <t>- **Focus:** Everyone concentrates better after a good breakfast.</t>
        </is>
      </c>
      <c r="F4" s="5" t="n"/>
      <c r="G4" s="5" t="n"/>
      <c r="H4" s="5" t="n"/>
    </row>
    <row r="5">
      <c r="A5" s="2" t="inlineStr">
        <is>
          <t>A01-04</t>
        </is>
      </c>
      <c r="B5" s="2" t="inlineStr">
        <is>
          <t>c4-a01</t>
        </is>
      </c>
      <c r="C5" s="2" t="inlineStr">
        <is>
          <t>Is breakfast the most important meal of the day?</t>
        </is>
      </c>
      <c r="D5" s="2" t="inlineStr">
        <is>
          <t>- **Focus:** Everyone concentrates better after a good breakfast.</t>
        </is>
      </c>
      <c r="E5" s="2" t="inlineStr">
        <is>
          <t>- **Weight:** People who skip breakfast always end up overeating later in the day.</t>
        </is>
      </c>
      <c r="F5" s="5" t="n"/>
      <c r="G5" s="5" t="n"/>
      <c r="H5" s="5" t="n"/>
    </row>
    <row r="6">
      <c r="A6" s="2" t="inlineStr">
        <is>
          <t>A01-05</t>
        </is>
      </c>
      <c r="B6" s="2" t="inlineStr">
        <is>
          <t>c4-a01</t>
        </is>
      </c>
      <c r="C6" s="2" t="inlineStr">
        <is>
          <t>Is breakfast the most important meal of the day?</t>
        </is>
      </c>
      <c r="D6" s="2" t="inlineStr">
        <is>
          <t>- **Weight:** People who skip breakfast always end up overeating later in the day.</t>
        </is>
      </c>
      <c r="E6" s="2" t="inlineStr">
        <is>
          <t>Some studies have linked regular breakfast eating to better diet quality, but randomized trials have found little effect on weight.</t>
        </is>
      </c>
      <c r="F6" s="5" t="n"/>
      <c r="G6" s="5" t="n"/>
      <c r="H6" s="5" t="n"/>
    </row>
    <row r="7">
      <c r="A7" s="2" t="inlineStr">
        <is>
          <t>A01-06</t>
        </is>
      </c>
      <c r="B7" s="2" t="inlineStr">
        <is>
          <t>c4-a01</t>
        </is>
      </c>
      <c r="C7" s="2" t="inlineStr">
        <is>
          <t>Is breakfast the most important meal of the day?</t>
        </is>
      </c>
      <c r="D7" s="2" t="inlineStr">
        <is>
          <t>Some studies have linked regular breakfast eating to better diet quality, but randomized trials have found little effect on weight.</t>
        </is>
      </c>
      <c r="E7" s="2" t="inlineStr">
        <is>
          <t>Much of the older research was observational, so it can't show that breakfast itself causes the benefits.</t>
        </is>
      </c>
      <c r="F7" s="5" t="n"/>
      <c r="G7" s="5" t="n"/>
      <c r="H7" s="5" t="n"/>
    </row>
    <row r="8">
      <c r="A8" s="2" t="inlineStr">
        <is>
          <t>A01-07</t>
        </is>
      </c>
      <c r="B8" s="2" t="inlineStr">
        <is>
          <t>c4-a01</t>
        </is>
      </c>
      <c r="C8" s="2" t="inlineStr">
        <is>
          <t>Is breakfast the most important meal of the day?</t>
        </is>
      </c>
      <c r="D8" s="2" t="inlineStr">
        <is>
          <t>Much of the older research was observational, so it can't show that breakfast itself causes the benefits.</t>
        </is>
      </c>
      <c r="E8" s="2" t="inlineStr">
        <is>
          <t>Breakfast is the key to a healthy metabolism.</t>
        </is>
      </c>
      <c r="F8" s="5" t="n"/>
      <c r="G8" s="5" t="n"/>
      <c r="H8" s="5" t="n"/>
    </row>
    <row r="9">
      <c r="A9" s="2" t="inlineStr">
        <is>
          <t>A01-08</t>
        </is>
      </c>
      <c r="B9" s="2" t="inlineStr">
        <is>
          <t>c4-a01</t>
        </is>
      </c>
      <c r="C9" s="2" t="inlineStr">
        <is>
          <t>Is breakfast the most important meal of the day?</t>
        </is>
      </c>
      <c r="D9" s="2" t="inlineStr">
        <is>
          <t>Breakfast is the key to a healthy metabolism.</t>
        </is>
      </c>
      <c r="E9" s="2" t="inlineStr">
        <is>
          <t>That said, if you aren't hungry in the morning, skipping it is unlikely to harm most healthy adults.</t>
        </is>
      </c>
      <c r="F9" s="5" t="n"/>
      <c r="G9" s="5" t="n"/>
      <c r="H9" s="5" t="n"/>
    </row>
    <row r="10">
      <c r="A10" s="2" t="inlineStr">
        <is>
          <t>A02-01</t>
        </is>
      </c>
      <c r="B10" s="2" t="inlineStr">
        <is>
          <t>c4-a02</t>
        </is>
      </c>
      <c r="C10" s="2" t="inlineStr">
        <is>
          <t>Are millennials worse with money than previous generations?</t>
        </is>
      </c>
      <c r="D10" s="2" t="inlineStr"/>
      <c r="E10" s="2" t="inlineStr">
        <is>
          <t>It's a common stereotype, but the picture is more complicated.</t>
        </is>
      </c>
      <c r="F10" s="5" t="n"/>
      <c r="G10" s="5" t="n"/>
      <c r="H10" s="5" t="n"/>
    </row>
    <row r="11">
      <c r="A11" s="2" t="inlineStr">
        <is>
          <t>A02-02</t>
        </is>
      </c>
      <c r="B11" s="2" t="inlineStr">
        <is>
          <t>c4-a02</t>
        </is>
      </c>
      <c r="C11" s="2" t="inlineStr">
        <is>
          <t>Are millennials worse with money than previous generations?</t>
        </is>
      </c>
      <c r="D11" s="2" t="inlineStr">
        <is>
          <t>It's a common stereotype, but the picture is more complicated.</t>
        </is>
      </c>
      <c r="E11" s="2" t="inlineStr">
        <is>
          <t>- The stereotype says millennials spend all their money on avocado toast and coffee instead of saving.</t>
        </is>
      </c>
      <c r="F11" s="5" t="n"/>
      <c r="G11" s="5" t="n"/>
      <c r="H11" s="5" t="n"/>
    </row>
    <row r="12">
      <c r="A12" s="2" t="inlineStr">
        <is>
          <t>A02-03</t>
        </is>
      </c>
      <c r="B12" s="2" t="inlineStr">
        <is>
          <t>c4-a02</t>
        </is>
      </c>
      <c r="C12" s="2" t="inlineStr">
        <is>
          <t>Are millennials worse with money than previous generations?</t>
        </is>
      </c>
      <c r="D12" s="2" t="inlineStr">
        <is>
          <t>- The stereotype says millennials spend all their money on avocado toast and coffee instead of saving.</t>
        </is>
      </c>
      <c r="E12" s="2" t="inlineStr">
        <is>
          <t>- Millennials are bad at managing credit.</t>
        </is>
      </c>
      <c r="F12" s="5" t="n"/>
      <c r="G12" s="5" t="n"/>
      <c r="H12" s="5" t="n"/>
    </row>
    <row r="13">
      <c r="A13" s="2" t="inlineStr">
        <is>
          <t>A02-04</t>
        </is>
      </c>
      <c r="B13" s="2" t="inlineStr">
        <is>
          <t>c4-a02</t>
        </is>
      </c>
      <c r="C13" s="2" t="inlineStr">
        <is>
          <t>Are millennials worse with money than previous generations?</t>
        </is>
      </c>
      <c r="D13" s="2" t="inlineStr">
        <is>
          <t>- Millennials are bad at managing credit.</t>
        </is>
      </c>
      <c r="E13" s="2" t="inlineStr">
        <is>
          <t>- Millennials entered the workforce during or after the 2008 recession, which delayed wealth building for many.</t>
        </is>
      </c>
      <c r="F13" s="5" t="n"/>
      <c r="G13" s="5" t="n"/>
      <c r="H13" s="5" t="n"/>
    </row>
    <row r="14">
      <c r="A14" s="2" t="inlineStr">
        <is>
          <t>A02-05</t>
        </is>
      </c>
      <c r="B14" s="2" t="inlineStr">
        <is>
          <t>c4-a02</t>
        </is>
      </c>
      <c r="C14" s="2" t="inlineStr">
        <is>
          <t>Are millennials worse with money than previous generations?</t>
        </is>
      </c>
      <c r="D14" s="2" t="inlineStr">
        <is>
          <t>- Millennials entered the workforce during or after the 2008 recession, which delayed wealth building for many.</t>
        </is>
      </c>
      <c r="E14" s="2" t="inlineStr">
        <is>
          <t>- Student debt is higher for this generation than for earlier ones at the same age.</t>
        </is>
      </c>
      <c r="F14" s="5" t="n"/>
      <c r="G14" s="5" t="n"/>
      <c r="H14" s="5" t="n"/>
    </row>
    <row r="15">
      <c r="A15" s="2" t="inlineStr">
        <is>
          <t>A02-06</t>
        </is>
      </c>
      <c r="B15" s="2" t="inlineStr">
        <is>
          <t>c4-a02</t>
        </is>
      </c>
      <c r="C15" s="2" t="inlineStr">
        <is>
          <t>Are millennials worse with money than previous generations?</t>
        </is>
      </c>
      <c r="D15" s="2" t="inlineStr">
        <is>
          <t>- Student debt is higher for this generation than for earlier ones at the same age.</t>
        </is>
      </c>
      <c r="E15" s="2" t="inlineStr">
        <is>
          <t>- Surveys suggest many millennials save at rates similar to Gen X at the same age.</t>
        </is>
      </c>
      <c r="F15" s="5" t="n"/>
      <c r="G15" s="5" t="n"/>
      <c r="H15" s="5" t="n"/>
    </row>
    <row r="16">
      <c r="A16" s="2" t="inlineStr">
        <is>
          <t>A02-07</t>
        </is>
      </c>
      <c r="B16" s="2" t="inlineStr">
        <is>
          <t>c4-a02</t>
        </is>
      </c>
      <c r="C16" s="2" t="inlineStr">
        <is>
          <t>Are millennials worse with money than previous generations?</t>
        </is>
      </c>
      <c r="D16" s="2" t="inlineStr">
        <is>
          <t>- Surveys suggest many millennials save at rates similar to Gen X at the same age.</t>
        </is>
      </c>
      <c r="E16" s="2" t="inlineStr">
        <is>
          <t>Young people never think about retirement.</t>
        </is>
      </c>
      <c r="F16" s="5" t="n"/>
      <c r="G16" s="5" t="n"/>
      <c r="H16" s="5" t="n"/>
    </row>
    <row r="17">
      <c r="A17" s="2" t="inlineStr">
        <is>
          <t>A02-08</t>
        </is>
      </c>
      <c r="B17" s="2" t="inlineStr">
        <is>
          <t>c4-a02</t>
        </is>
      </c>
      <c r="C17" s="2" t="inlineStr">
        <is>
          <t>Are millennials worse with money than previous generations?</t>
        </is>
      </c>
      <c r="D17" s="2" t="inlineStr">
        <is>
          <t>Young people never think about retirement.</t>
        </is>
      </c>
      <c r="E17" s="2" t="inlineStr">
        <is>
          <t>Differences in wealth mostly reflect timing and costs, not a lack of discipline.</t>
        </is>
      </c>
      <c r="F17" s="5" t="n"/>
      <c r="G17" s="5" t="n"/>
      <c r="H17" s="5" t="n"/>
    </row>
    <row r="18">
      <c r="A18" s="2" t="inlineStr">
        <is>
          <t>A03-01</t>
        </is>
      </c>
      <c r="B18" s="2" t="inlineStr">
        <is>
          <t>c4-a03</t>
        </is>
      </c>
      <c r="C18" s="2" t="inlineStr">
        <is>
          <t>Does money buy happiness?</t>
        </is>
      </c>
      <c r="D18" s="2" t="inlineStr"/>
      <c r="E18" s="2" t="inlineStr">
        <is>
          <t>Money and happiness are related, but not in a simple way.</t>
        </is>
      </c>
      <c r="F18" s="5" t="n"/>
      <c r="G18" s="5" t="n"/>
      <c r="H18" s="5" t="n"/>
    </row>
    <row r="19">
      <c r="A19" s="2" t="inlineStr">
        <is>
          <t>A03-02</t>
        </is>
      </c>
      <c r="B19" s="2" t="inlineStr">
        <is>
          <t>c4-a03</t>
        </is>
      </c>
      <c r="C19" s="2" t="inlineStr">
        <is>
          <t>Does money buy happiness?</t>
        </is>
      </c>
      <c r="D19" s="2" t="inlineStr">
        <is>
          <t>Money and happiness are related, but not in a simple way.</t>
        </is>
      </c>
      <c r="E19" s="2" t="inlineStr">
        <is>
          <t>- **Up to a point, yes:** Higher income is linked to higher life satisfaction, especially for people who struggle to cover basic needs.</t>
        </is>
      </c>
      <c r="F19" s="5" t="n"/>
      <c r="G19" s="5" t="n"/>
      <c r="H19" s="5" t="n"/>
    </row>
    <row r="20">
      <c r="A20" s="2" t="inlineStr">
        <is>
          <t>A03-03</t>
        </is>
      </c>
      <c r="B20" s="2" t="inlineStr">
        <is>
          <t>c4-a03</t>
        </is>
      </c>
      <c r="C20" s="2" t="inlineStr">
        <is>
          <t>Does money buy happiness?</t>
        </is>
      </c>
      <c r="D20" s="2" t="inlineStr">
        <is>
          <t>- **Up to a point, yes:** Higher income is linked to higher life satisfaction, especially for people who struggle to cover basic needs.</t>
        </is>
      </c>
      <c r="E20" s="2" t="inlineStr">
        <is>
          <t>- A 2010 study by Daniel Kahneman and Angus Deaton suggested emotional well-being leveled off around $75,000 a year, though a 2023 follow-up found it keeps rising for most people.</t>
        </is>
      </c>
      <c r="F20" s="5" t="n"/>
      <c r="G20" s="5" t="n"/>
      <c r="H20" s="5" t="n"/>
    </row>
    <row r="21">
      <c r="A21" s="2" t="inlineStr">
        <is>
          <t>A03-04</t>
        </is>
      </c>
      <c r="B21" s="2" t="inlineStr">
        <is>
          <t>c4-a03</t>
        </is>
      </c>
      <c r="C21" s="2" t="inlineStr">
        <is>
          <t>Does money buy happiness?</t>
        </is>
      </c>
      <c r="D21" s="2" t="inlineStr">
        <is>
          <t>- A 2010 study by Daniel Kahneman and Angus Deaton suggested emotional well-being leveled off around $75,000 a year, though a 2023 follow-up found it keeps rising for most people.</t>
        </is>
      </c>
      <c r="E21" s="2" t="inlineStr">
        <is>
          <t>- **Experiences over things:** Spending on experiences always makes people happier than buying things.</t>
        </is>
      </c>
      <c r="F21" s="5" t="n"/>
      <c r="G21" s="5" t="n"/>
      <c r="H21" s="5" t="n"/>
    </row>
    <row r="22">
      <c r="A22" s="2" t="inlineStr">
        <is>
          <t>A03-05</t>
        </is>
      </c>
      <c r="B22" s="2" t="inlineStr">
        <is>
          <t>c4-a03</t>
        </is>
      </c>
      <c r="C22" s="2" t="inlineStr">
        <is>
          <t>Does money buy happiness?</t>
        </is>
      </c>
      <c r="D22" s="2" t="inlineStr">
        <is>
          <t>- **Experiences over things:** Spending on experiences always makes people happier than buying things.</t>
        </is>
      </c>
      <c r="E22" s="2" t="inlineStr">
        <is>
          <t>- Rich people are happier than everyone else.</t>
        </is>
      </c>
      <c r="F22" s="5" t="n"/>
      <c r="G22" s="5" t="n"/>
      <c r="H22" s="5" t="n"/>
    </row>
    <row r="23">
      <c r="A23" s="2" t="inlineStr">
        <is>
          <t>A03-06</t>
        </is>
      </c>
      <c r="B23" s="2" t="inlineStr">
        <is>
          <t>c4-a03</t>
        </is>
      </c>
      <c r="C23" s="2" t="inlineStr">
        <is>
          <t>Does money buy happiness?</t>
        </is>
      </c>
      <c r="D23" s="2" t="inlineStr">
        <is>
          <t>- Rich people are happier than everyone else.</t>
        </is>
      </c>
      <c r="E23" s="2" t="inlineStr">
        <is>
          <t>- **Giving:** Studies have found that spending money on others can boost happiness more than spending it on yourself.</t>
        </is>
      </c>
      <c r="F23" s="5" t="n"/>
      <c r="G23" s="5" t="n"/>
      <c r="H23" s="5" t="n"/>
    </row>
    <row r="24">
      <c r="A24" s="2" t="inlineStr">
        <is>
          <t>A03-07</t>
        </is>
      </c>
      <c r="B24" s="2" t="inlineStr">
        <is>
          <t>c4-a03</t>
        </is>
      </c>
      <c r="C24" s="2" t="inlineStr">
        <is>
          <t>Does money buy happiness?</t>
        </is>
      </c>
      <c r="D24" s="2" t="inlineStr">
        <is>
          <t>- **Giving:** Studies have found that spending money on others can boost happiness more than spending it on yourself.</t>
        </is>
      </c>
      <c r="E24" s="2" t="inlineStr">
        <is>
          <t>**Bottom line:** Money can't buy happiness.</t>
        </is>
      </c>
      <c r="F24" s="5" t="n"/>
      <c r="G24" s="5" t="n"/>
      <c r="H24" s="5" t="n"/>
    </row>
    <row r="25">
      <c r="A25" s="2" t="inlineStr">
        <is>
          <t>A04-01</t>
        </is>
      </c>
      <c r="B25" s="2" t="inlineStr">
        <is>
          <t>c4-a04</t>
        </is>
      </c>
      <c r="C25" s="2" t="inlineStr">
        <is>
          <t>Is organic food healthier than conventional food?</t>
        </is>
      </c>
      <c r="D25" s="2" t="inlineStr"/>
      <c r="E25" s="2" t="inlineStr">
        <is>
          <t>Organic food is often seen as healthier, but the evidence is mixed.</t>
        </is>
      </c>
      <c r="F25" s="5" t="n"/>
      <c r="G25" s="5" t="n"/>
      <c r="H25" s="5" t="n"/>
    </row>
    <row r="26">
      <c r="A26" s="2" t="inlineStr">
        <is>
          <t>A04-02</t>
        </is>
      </c>
      <c r="B26" s="2" t="inlineStr">
        <is>
          <t>c4-a04</t>
        </is>
      </c>
      <c r="C26" s="2" t="inlineStr">
        <is>
          <t>Is organic food healthier than conventional food?</t>
        </is>
      </c>
      <c r="D26" s="2" t="inlineStr">
        <is>
          <t>Organic food is often seen as healthier, but the evidence is mixed.</t>
        </is>
      </c>
      <c r="E26" s="2" t="inlineStr">
        <is>
          <t>In the US, food labeled "USDA Organic" must be produced without synthetic pesticides, synthetic fertilizers, or genetically engineered ingredients.</t>
        </is>
      </c>
      <c r="F26" s="5" t="n"/>
      <c r="G26" s="5" t="n"/>
      <c r="H26" s="5" t="n"/>
    </row>
    <row r="27">
      <c r="A27" s="2" t="inlineStr">
        <is>
          <t>A04-03</t>
        </is>
      </c>
      <c r="B27" s="2" t="inlineStr">
        <is>
          <t>c4-a04</t>
        </is>
      </c>
      <c r="C27" s="2" t="inlineStr">
        <is>
          <t>Is organic food healthier than conventional food?</t>
        </is>
      </c>
      <c r="D27" s="2" t="inlineStr">
        <is>
          <t>In the US, food labeled "USDA Organic" must be produced without synthetic pesticides, synthetic fertilizers, or genetically engineered ingredients.</t>
        </is>
      </c>
      <c r="E27" s="2" t="inlineStr">
        <is>
          <t>- Organic produce tends to have lower pesticide residues.</t>
        </is>
      </c>
      <c r="F27" s="5" t="n"/>
      <c r="G27" s="5" t="n"/>
      <c r="H27" s="5" t="n"/>
    </row>
    <row r="28">
      <c r="A28" s="2" t="inlineStr">
        <is>
          <t>A04-04</t>
        </is>
      </c>
      <c r="B28" s="2" t="inlineStr">
        <is>
          <t>c4-a04</t>
        </is>
      </c>
      <c r="C28" s="2" t="inlineStr">
        <is>
          <t>Is organic food healthier than conventional food?</t>
        </is>
      </c>
      <c r="D28" s="2" t="inlineStr">
        <is>
          <t>- Organic produce tends to have lower pesticide residues.</t>
        </is>
      </c>
      <c r="E28" s="2" t="inlineStr">
        <is>
          <t>- Organic food is always more nutritious than conventional food.</t>
        </is>
      </c>
      <c r="F28" s="5" t="n"/>
      <c r="G28" s="5" t="n"/>
      <c r="H28" s="5" t="n"/>
    </row>
    <row r="29">
      <c r="A29" s="2" t="inlineStr">
        <is>
          <t>A04-05</t>
        </is>
      </c>
      <c r="B29" s="2" t="inlineStr">
        <is>
          <t>c4-a04</t>
        </is>
      </c>
      <c r="C29" s="2" t="inlineStr">
        <is>
          <t>Is organic food healthier than conventional food?</t>
        </is>
      </c>
      <c r="D29" s="2" t="inlineStr">
        <is>
          <t>- Organic food is always more nutritious than conventional food.</t>
        </is>
      </c>
      <c r="E29" s="2" t="inlineStr">
        <is>
          <t>- Large reviews, such as a 2012 Stanford analysis, found little difference in vitamin and mineral content.</t>
        </is>
      </c>
      <c r="F29" s="5" t="n"/>
      <c r="G29" s="5" t="n"/>
      <c r="H29" s="5" t="n"/>
    </row>
    <row r="30">
      <c r="A30" s="2" t="inlineStr">
        <is>
          <t>A04-06</t>
        </is>
      </c>
      <c r="B30" s="2" t="inlineStr">
        <is>
          <t>c4-a04</t>
        </is>
      </c>
      <c r="C30" s="2" t="inlineStr">
        <is>
          <t>Is organic food healthier than conventional food?</t>
        </is>
      </c>
      <c r="D30" s="2" t="inlineStr">
        <is>
          <t>- Large reviews, such as a 2012 Stanford analysis, found little difference in vitamin and mineral content.</t>
        </is>
      </c>
      <c r="E30" s="2" t="inlineStr">
        <is>
          <t>- Conventional produce in the US is generally well below safety limits for pesticide residues.</t>
        </is>
      </c>
      <c r="F30" s="5" t="n"/>
      <c r="G30" s="5" t="n"/>
      <c r="H30" s="5" t="n"/>
    </row>
    <row r="31">
      <c r="A31" s="2" t="inlineStr">
        <is>
          <t>A04-07</t>
        </is>
      </c>
      <c r="B31" s="2" t="inlineStr">
        <is>
          <t>c4-a04</t>
        </is>
      </c>
      <c r="C31" s="2" t="inlineStr">
        <is>
          <t>Is organic food healthier than conventional food?</t>
        </is>
      </c>
      <c r="D31" s="2" t="inlineStr">
        <is>
          <t>- Conventional produce in the US is generally well below safety limits for pesticide residues.</t>
        </is>
      </c>
      <c r="E31" s="2" t="inlineStr">
        <is>
          <t>**Bottom line:** Organic farming is the only way to eat healthily.</t>
        </is>
      </c>
      <c r="F31" s="5" t="n"/>
      <c r="G31" s="5" t="n"/>
      <c r="H31" s="5" t="n"/>
    </row>
    <row r="32">
      <c r="A32" s="2" t="inlineStr">
        <is>
          <t>A04-08</t>
        </is>
      </c>
      <c r="B32" s="2" t="inlineStr">
        <is>
          <t>c4-a04</t>
        </is>
      </c>
      <c r="C32" s="2" t="inlineStr">
        <is>
          <t>Is organic food healthier than conventional food?</t>
        </is>
      </c>
      <c r="D32" s="2" t="inlineStr">
        <is>
          <t>**Bottom line:** Organic farming is the only way to eat healthily.</t>
        </is>
      </c>
      <c r="E32" s="2" t="inlineStr">
        <is>
          <t>Eating more fruits and vegetables, organic or not, matters more for health than the label.</t>
        </is>
      </c>
      <c r="F32" s="5" t="n"/>
      <c r="G32" s="5" t="n"/>
      <c r="H32" s="5" t="n"/>
    </row>
    <row r="33">
      <c r="A33" s="2" t="inlineStr">
        <is>
          <t>A05-01</t>
        </is>
      </c>
      <c r="B33" s="2" t="inlineStr">
        <is>
          <t>c4-a05</t>
        </is>
      </c>
      <c r="C33" s="2" t="inlineStr">
        <is>
          <t>Do kids learn better with homework?</t>
        </is>
      </c>
      <c r="D33" s="2" t="inlineStr"/>
      <c r="E33" s="2" t="inlineStr">
        <is>
          <t>Homework's benefits depend a lot on a student's age.</t>
        </is>
      </c>
      <c r="F33" s="5" t="n"/>
      <c r="G33" s="5" t="n"/>
      <c r="H33" s="5" t="n"/>
    </row>
    <row r="34">
      <c r="A34" s="2" t="inlineStr">
        <is>
          <t>A05-02</t>
        </is>
      </c>
      <c r="B34" s="2" t="inlineStr">
        <is>
          <t>c4-a05</t>
        </is>
      </c>
      <c r="C34" s="2" t="inlineStr">
        <is>
          <t>Do kids learn better with homework?</t>
        </is>
      </c>
      <c r="D34" s="2" t="inlineStr">
        <is>
          <t>Homework's benefits depend a lot on a student's age.</t>
        </is>
      </c>
      <c r="E34" s="2" t="inlineStr">
        <is>
          <t>- **High school:** Research, including reviews by Harris Cooper at Duke, has linked moderate homework to higher achievement for older students.</t>
        </is>
      </c>
      <c r="F34" s="5" t="n"/>
      <c r="G34" s="5" t="n"/>
      <c r="H34" s="5" t="n"/>
    </row>
    <row r="35">
      <c r="A35" s="2" t="inlineStr">
        <is>
          <t>A05-03</t>
        </is>
      </c>
      <c r="B35" s="2" t="inlineStr">
        <is>
          <t>c4-a05</t>
        </is>
      </c>
      <c r="C35" s="2" t="inlineStr">
        <is>
          <t>Do kids learn better with homework?</t>
        </is>
      </c>
      <c r="D35" s="2" t="inlineStr">
        <is>
          <t>- **High school:** Research, including reviews by Harris Cooper at Duke, has linked moderate homework to higher achievement for older students.</t>
        </is>
      </c>
      <c r="E35" s="2" t="inlineStr">
        <is>
          <t>- **Elementary school:** The link is much weaker for young children.</t>
        </is>
      </c>
      <c r="F35" s="5" t="n"/>
      <c r="G35" s="5" t="n"/>
      <c r="H35" s="5" t="n"/>
    </row>
    <row r="36">
      <c r="A36" s="2" t="inlineStr">
        <is>
          <t>A05-04</t>
        </is>
      </c>
      <c r="B36" s="2" t="inlineStr">
        <is>
          <t>c4-a05</t>
        </is>
      </c>
      <c r="C36" s="2" t="inlineStr">
        <is>
          <t>Do kids learn better with homework?</t>
        </is>
      </c>
      <c r="D36" s="2" t="inlineStr">
        <is>
          <t>- **Elementary school:** The link is much weaker for young children.</t>
        </is>
      </c>
      <c r="E36" s="2" t="inlineStr">
        <is>
          <t>- Homework teaches every child responsibility and time management.</t>
        </is>
      </c>
      <c r="F36" s="5" t="n"/>
      <c r="G36" s="5" t="n"/>
      <c r="H36" s="5" t="n"/>
    </row>
    <row r="37">
      <c r="A37" s="2" t="inlineStr">
        <is>
          <t>A05-05</t>
        </is>
      </c>
      <c r="B37" s="2" t="inlineStr">
        <is>
          <t>c4-a05</t>
        </is>
      </c>
      <c r="C37" s="2" t="inlineStr">
        <is>
          <t>Do kids learn better with homework?</t>
        </is>
      </c>
      <c r="D37" s="2" t="inlineStr">
        <is>
          <t>- Homework teaches every child responsibility and time management.</t>
        </is>
      </c>
      <c r="E37" s="2" t="inlineStr">
        <is>
          <t>- **Too much homework:** Students who spend more than about two hours a night often see no added benefit and report more stress.</t>
        </is>
      </c>
      <c r="F37" s="5" t="n"/>
      <c r="G37" s="5" t="n"/>
      <c r="H37" s="5" t="n"/>
    </row>
    <row r="38">
      <c r="A38" s="2" t="inlineStr">
        <is>
          <t>A05-06</t>
        </is>
      </c>
      <c r="B38" s="2" t="inlineStr">
        <is>
          <t>c4-a05</t>
        </is>
      </c>
      <c r="C38" s="2" t="inlineStr">
        <is>
          <t>Do kids learn better with homework?</t>
        </is>
      </c>
      <c r="D38" s="2" t="inlineStr">
        <is>
          <t>- **Too much homework:** Students who spend more than about two hours a night often see no added benefit and report more stress.</t>
        </is>
      </c>
      <c r="E38" s="2" t="inlineStr">
        <is>
          <t>- Kids who don't do homework fall behind.</t>
        </is>
      </c>
      <c r="F38" s="5" t="n"/>
      <c r="G38" s="5" t="n"/>
      <c r="H38" s="5" t="n"/>
    </row>
    <row r="39">
      <c r="A39" s="2" t="inlineStr">
        <is>
          <t>A05-07</t>
        </is>
      </c>
      <c r="B39" s="2" t="inlineStr">
        <is>
          <t>c4-a05</t>
        </is>
      </c>
      <c r="C39" s="2" t="inlineStr">
        <is>
          <t>Do kids learn better with homework?</t>
        </is>
      </c>
      <c r="D39" s="2" t="inlineStr">
        <is>
          <t>- Kids who don't do homework fall behind.</t>
        </is>
      </c>
      <c r="E39" s="2" t="inlineStr">
        <is>
          <t>**Bottom line:** The quality and amount of homework matter more than whether it's assigned at all.</t>
        </is>
      </c>
      <c r="F39" s="5" t="n"/>
      <c r="G39" s="5" t="n"/>
      <c r="H39" s="5" t="n"/>
    </row>
    <row r="40">
      <c r="A40" s="2" t="inlineStr">
        <is>
          <t>A06-01</t>
        </is>
      </c>
      <c r="B40" s="2" t="inlineStr">
        <is>
          <t>c4-a06</t>
        </is>
      </c>
      <c r="C40" s="2" t="inlineStr">
        <is>
          <t>Are introverts worse leaders than extroverts?</t>
        </is>
      </c>
      <c r="D40" s="2" t="inlineStr"/>
      <c r="E40" s="2" t="inlineStr">
        <is>
          <t>No, introverts are not worse leaders, although they often lead differently.</t>
        </is>
      </c>
      <c r="F40" s="5" t="n"/>
      <c r="G40" s="5" t="n"/>
      <c r="H40" s="5" t="n"/>
    </row>
    <row r="41">
      <c r="A41" s="2" t="inlineStr">
        <is>
          <t>A06-02</t>
        </is>
      </c>
      <c r="B41" s="2" t="inlineStr">
        <is>
          <t>c4-a06</t>
        </is>
      </c>
      <c r="C41" s="2" t="inlineStr">
        <is>
          <t>Are introverts worse leaders than extroverts?</t>
        </is>
      </c>
      <c r="D41" s="2" t="inlineStr">
        <is>
          <t>No, introverts are not worse leaders, although they often lead differently.</t>
        </is>
      </c>
      <c r="E41" s="2" t="inlineStr">
        <is>
          <t>- Extroverts are natural leaders.</t>
        </is>
      </c>
      <c r="F41" s="5" t="n"/>
      <c r="G41" s="5" t="n"/>
      <c r="H41" s="5" t="n"/>
    </row>
    <row r="42">
      <c r="A42" s="2" t="inlineStr">
        <is>
          <t>A06-03</t>
        </is>
      </c>
      <c r="B42" s="2" t="inlineStr">
        <is>
          <t>c4-a06</t>
        </is>
      </c>
      <c r="C42" s="2" t="inlineStr">
        <is>
          <t>Are introverts worse leaders than extroverts?</t>
        </is>
      </c>
      <c r="D42" s="2" t="inlineStr">
        <is>
          <t>- Extroverts are natural leaders.</t>
        </is>
      </c>
      <c r="E42" s="2" t="inlineStr">
        <is>
          <t>- Introverts never enjoy public speaking.</t>
        </is>
      </c>
      <c r="F42" s="5" t="n"/>
      <c r="G42" s="5" t="n"/>
      <c r="H42" s="5" t="n"/>
    </row>
    <row r="43">
      <c r="A43" s="2" t="inlineStr">
        <is>
          <t>A06-04</t>
        </is>
      </c>
      <c r="B43" s="2" t="inlineStr">
        <is>
          <t>c4-a06</t>
        </is>
      </c>
      <c r="C43" s="2" t="inlineStr">
        <is>
          <t>Are introverts worse leaders than extroverts?</t>
        </is>
      </c>
      <c r="D43" s="2" t="inlineStr">
        <is>
          <t>- Introverts never enjoy public speaking.</t>
        </is>
      </c>
      <c r="E43" s="2" t="inlineStr">
        <is>
          <t>- Research by Adam Grant and colleagues found that introverted leaders can be more effective with proactive teams because they listen to suggestions.</t>
        </is>
      </c>
      <c r="F43" s="5" t="n"/>
      <c r="G43" s="5" t="n"/>
      <c r="H43" s="5" t="n"/>
    </row>
    <row r="44">
      <c r="A44" s="2" t="inlineStr">
        <is>
          <t>A06-05</t>
        </is>
      </c>
      <c r="B44" s="2" t="inlineStr">
        <is>
          <t>c4-a06</t>
        </is>
      </c>
      <c r="C44" s="2" t="inlineStr">
        <is>
          <t>Are introverts worse leaders than extroverts?</t>
        </is>
      </c>
      <c r="D44" s="2" t="inlineStr">
        <is>
          <t>- Research by Adam Grant and colleagues found that introverted leaders can be more effective with proactive teams because they listen to suggestions.</t>
        </is>
      </c>
      <c r="E44" s="2" t="inlineStr">
        <is>
          <t>- Some well-known leaders, such as Bill Gates and Abraham Lincoln, have been described as introverted.</t>
        </is>
      </c>
      <c r="F44" s="5" t="n"/>
      <c r="G44" s="5" t="n"/>
      <c r="H44" s="5" t="n"/>
    </row>
    <row r="45">
      <c r="A45" s="2" t="inlineStr">
        <is>
          <t>A06-06</t>
        </is>
      </c>
      <c r="B45" s="2" t="inlineStr">
        <is>
          <t>c4-a06</t>
        </is>
      </c>
      <c r="C45" s="2" t="inlineStr">
        <is>
          <t>Are introverts worse leaders than extroverts?</t>
        </is>
      </c>
      <c r="D45" s="2" t="inlineStr">
        <is>
          <t>- Some well-known leaders, such as Bill Gates and Abraham Lincoln, have been described as introverted.</t>
        </is>
      </c>
      <c r="E45" s="2" t="inlineStr">
        <is>
          <t>- **Strengths:** Introverts tend to prepare carefully and think before acting.</t>
        </is>
      </c>
      <c r="F45" s="5" t="n"/>
      <c r="G45" s="5" t="n"/>
      <c r="H45" s="5" t="n"/>
    </row>
    <row r="46">
      <c r="A46" s="2" t="inlineStr">
        <is>
          <t>A06-07</t>
        </is>
      </c>
      <c r="B46" s="2" t="inlineStr">
        <is>
          <t>c4-a06</t>
        </is>
      </c>
      <c r="C46" s="2" t="inlineStr">
        <is>
          <t>Are introverts worse leaders than extroverts?</t>
        </is>
      </c>
      <c r="D46" s="2" t="inlineStr">
        <is>
          <t>- **Strengths:** Introverts tend to prepare carefully and think before acting.</t>
        </is>
      </c>
      <c r="E46" s="2" t="inlineStr">
        <is>
          <t>**Bottom line:** Leadership depends more on skills and context than on personality type.</t>
        </is>
      </c>
      <c r="F46" s="5" t="n"/>
      <c r="G46" s="5" t="n"/>
      <c r="H46" s="5" t="n"/>
    </row>
    <row r="47">
      <c r="A47" s="2" t="inlineStr">
        <is>
          <t>A07-01</t>
        </is>
      </c>
      <c r="B47" s="2" t="inlineStr">
        <is>
          <t>c4-a07</t>
        </is>
      </c>
      <c r="C47" s="2" t="inlineStr">
        <is>
          <t>Is coffee bad for your health?</t>
        </is>
      </c>
      <c r="D47" s="2" t="inlineStr"/>
      <c r="E47" s="2" t="inlineStr">
        <is>
          <t>For most adults, moderate coffee drinking appears to be safe and may even have benefits.</t>
        </is>
      </c>
      <c r="F47" s="5" t="n"/>
      <c r="G47" s="5" t="n"/>
      <c r="H47" s="5" t="n"/>
    </row>
    <row r="48">
      <c r="A48" s="2" t="inlineStr">
        <is>
          <t>A07-02</t>
        </is>
      </c>
      <c r="B48" s="2" t="inlineStr">
        <is>
          <t>c4-a07</t>
        </is>
      </c>
      <c r="C48" s="2" t="inlineStr">
        <is>
          <t>Is coffee bad for your health?</t>
        </is>
      </c>
      <c r="D48" s="2" t="inlineStr">
        <is>
          <t>For most adults, moderate coffee drinking appears to be safe and may even have benefits.</t>
        </is>
      </c>
      <c r="E48" s="2" t="inlineStr">
        <is>
          <t>- **Moderate intake:** The FDA cites 400 mg of caffeine a day, about four cups of coffee, as an amount not generally associated with negative effects for healthy adults.</t>
        </is>
      </c>
      <c r="F48" s="5" t="n"/>
      <c r="G48" s="5" t="n"/>
      <c r="H48" s="5" t="n"/>
    </row>
    <row r="49">
      <c r="A49" s="2" t="inlineStr">
        <is>
          <t>A07-03</t>
        </is>
      </c>
      <c r="B49" s="2" t="inlineStr">
        <is>
          <t>c4-a07</t>
        </is>
      </c>
      <c r="C49" s="2" t="inlineStr">
        <is>
          <t>Is coffee bad for your health?</t>
        </is>
      </c>
      <c r="D49" s="2" t="inlineStr">
        <is>
          <t>- **Moderate intake:** The FDA cites 400 mg of caffeine a day, about four cups of coffee, as an amount not generally associated with negative effects for healthy adults.</t>
        </is>
      </c>
      <c r="E49" s="2" t="inlineStr">
        <is>
          <t>- Coffee drinkers live longer.</t>
        </is>
      </c>
      <c r="F49" s="5" t="n"/>
      <c r="G49" s="5" t="n"/>
      <c r="H49" s="5" t="n"/>
    </row>
    <row r="50">
      <c r="A50" s="2" t="inlineStr">
        <is>
          <t>A07-04</t>
        </is>
      </c>
      <c r="B50" s="2" t="inlineStr">
        <is>
          <t>c4-a07</t>
        </is>
      </c>
      <c r="C50" s="2" t="inlineStr">
        <is>
          <t>Is coffee bad for your health?</t>
        </is>
      </c>
      <c r="D50" s="2" t="inlineStr">
        <is>
          <t>- Coffee drinkers live longer.</t>
        </is>
      </c>
      <c r="E50" s="2" t="inlineStr">
        <is>
          <t>- **Possible benefits:** Large observational studies have linked coffee to lower risk of type 2 diabetes and Parkinson's disease.</t>
        </is>
      </c>
      <c r="F50" s="5" t="n"/>
      <c r="G50" s="5" t="n"/>
      <c r="H50" s="5" t="n"/>
    </row>
    <row r="51">
      <c r="A51" s="2" t="inlineStr">
        <is>
          <t>A07-05</t>
        </is>
      </c>
      <c r="B51" s="2" t="inlineStr">
        <is>
          <t>c4-a07</t>
        </is>
      </c>
      <c r="C51" s="2" t="inlineStr">
        <is>
          <t>Is coffee bad for your health?</t>
        </is>
      </c>
      <c r="D51" s="2" t="inlineStr">
        <is>
          <t>- **Possible benefits:** Large observational studies have linked coffee to lower risk of type 2 diabetes and Parkinson's disease.</t>
        </is>
      </c>
      <c r="E51" s="2" t="inlineStr">
        <is>
          <t>- **Downsides:** Too much caffeine can cause anxiety, insomnia, and a faster heart rate.</t>
        </is>
      </c>
      <c r="F51" s="5" t="n"/>
      <c r="G51" s="5" t="n"/>
      <c r="H51" s="5" t="n"/>
    </row>
    <row r="52">
      <c r="A52" s="2" t="inlineStr">
        <is>
          <t>A07-06</t>
        </is>
      </c>
      <c r="B52" s="2" t="inlineStr">
        <is>
          <t>c4-a07</t>
        </is>
      </c>
      <c r="C52" s="2" t="inlineStr">
        <is>
          <t>Is coffee bad for your health?</t>
        </is>
      </c>
      <c r="D52" s="2" t="inlineStr">
        <is>
          <t>- **Downsides:** Too much caffeine can cause anxiety, insomnia, and a faster heart rate.</t>
        </is>
      </c>
      <c r="E52" s="2" t="inlineStr">
        <is>
          <t>- Coffee always dehydrates you.</t>
        </is>
      </c>
      <c r="F52" s="5" t="n"/>
      <c r="G52" s="5" t="n"/>
      <c r="H52" s="5" t="n"/>
    </row>
    <row r="53">
      <c r="A53" s="2" t="inlineStr">
        <is>
          <t>A07-07</t>
        </is>
      </c>
      <c r="B53" s="2" t="inlineStr">
        <is>
          <t>c4-a07</t>
        </is>
      </c>
      <c r="C53" s="2" t="inlineStr">
        <is>
          <t>Is coffee bad for your health?</t>
        </is>
      </c>
      <c r="D53" s="2" t="inlineStr">
        <is>
          <t>- Coffee always dehydrates you.</t>
        </is>
      </c>
      <c r="E53" s="2" t="inlineStr">
        <is>
          <t>- Pregnant people are usually advised to limit caffeine to about 200 mg a day.</t>
        </is>
      </c>
      <c r="F53" s="5" t="n"/>
      <c r="G53" s="5" t="n"/>
      <c r="H53" s="5" t="n"/>
    </row>
    <row r="54">
      <c r="A54" s="2" t="inlineStr">
        <is>
          <t>A07-08</t>
        </is>
      </c>
      <c r="B54" s="2" t="inlineStr">
        <is>
          <t>c4-a07</t>
        </is>
      </c>
      <c r="C54" s="2" t="inlineStr">
        <is>
          <t>Is coffee bad for your health?</t>
        </is>
      </c>
      <c r="D54" s="2" t="inlineStr">
        <is>
          <t>- Pregnant people are usually advised to limit caffeine to about 200 mg a day.</t>
        </is>
      </c>
      <c r="E54" s="2" t="inlineStr">
        <is>
          <t>**Bottom line:** Coffee is completely safe for everyone.</t>
        </is>
      </c>
      <c r="F54" s="5" t="n"/>
      <c r="G54" s="5" t="n"/>
      <c r="H54" s="5" t="n"/>
    </row>
    <row r="55">
      <c r="A55" s="2" t="inlineStr">
        <is>
          <t>A08-01</t>
        </is>
      </c>
      <c r="B55" s="2" t="inlineStr">
        <is>
          <t>c4-a08</t>
        </is>
      </c>
      <c r="C55" s="2" t="inlineStr">
        <is>
          <t>Do we only use 10% of our brains?</t>
        </is>
      </c>
      <c r="D55" s="2" t="inlineStr"/>
      <c r="E55" s="2" t="inlineStr">
        <is>
          <t>No, the idea that we only use 10% of our brains is a myth.</t>
        </is>
      </c>
      <c r="F55" s="5" t="n"/>
      <c r="G55" s="5" t="n"/>
      <c r="H55" s="5" t="n"/>
    </row>
    <row r="56">
      <c r="A56" s="2" t="inlineStr">
        <is>
          <t>A08-02</t>
        </is>
      </c>
      <c r="B56" s="2" t="inlineStr">
        <is>
          <t>c4-a08</t>
        </is>
      </c>
      <c r="C56" s="2" t="inlineStr">
        <is>
          <t>Do we only use 10% of our brains?</t>
        </is>
      </c>
      <c r="D56" s="2" t="inlineStr">
        <is>
          <t>No, the idea that we only use 10% of our brains is a myth.</t>
        </is>
      </c>
      <c r="E56" s="2" t="inlineStr">
        <is>
          <t>- Brain imaging shows that nearly all parts of the brain are active over the course of a day.</t>
        </is>
      </c>
      <c r="F56" s="5" t="n"/>
      <c r="G56" s="5" t="n"/>
      <c r="H56" s="5" t="n"/>
    </row>
    <row r="57">
      <c r="A57" s="2" t="inlineStr">
        <is>
          <t>A08-03</t>
        </is>
      </c>
      <c r="B57" s="2" t="inlineStr">
        <is>
          <t>c4-a08</t>
        </is>
      </c>
      <c r="C57" s="2" t="inlineStr">
        <is>
          <t>Do we only use 10% of our brains?</t>
        </is>
      </c>
      <c r="D57" s="2" t="inlineStr">
        <is>
          <t>- Brain imaging shows that nearly all parts of the brain are active over the course of a day.</t>
        </is>
      </c>
      <c r="E57" s="2" t="inlineStr">
        <is>
          <t>- Every part of the brain has a known function.</t>
        </is>
      </c>
      <c r="F57" s="5" t="n"/>
      <c r="G57" s="5" t="n"/>
      <c r="H57" s="5" t="n"/>
    </row>
    <row r="58">
      <c r="A58" s="2" t="inlineStr">
        <is>
          <t>A08-04</t>
        </is>
      </c>
      <c r="B58" s="2" t="inlineStr">
        <is>
          <t>c4-a08</t>
        </is>
      </c>
      <c r="C58" s="2" t="inlineStr">
        <is>
          <t>Do we only use 10% of our brains?</t>
        </is>
      </c>
      <c r="D58" s="2" t="inlineStr">
        <is>
          <t>- Every part of the brain has a known function.</t>
        </is>
      </c>
      <c r="E58" s="2" t="inlineStr">
        <is>
          <t>- Damage to almost any area of the brain causes some loss of ability, which wouldn't happen if 90% were unused.</t>
        </is>
      </c>
      <c r="F58" s="5" t="n"/>
      <c r="G58" s="5" t="n"/>
      <c r="H58" s="5" t="n"/>
    </row>
    <row r="59">
      <c r="A59" s="2" t="inlineStr">
        <is>
          <t>A08-05</t>
        </is>
      </c>
      <c r="B59" s="2" t="inlineStr">
        <is>
          <t>c4-a08</t>
        </is>
      </c>
      <c r="C59" s="2" t="inlineStr">
        <is>
          <t>Do we only use 10% of our brains?</t>
        </is>
      </c>
      <c r="D59" s="2" t="inlineStr">
        <is>
          <t>- Damage to almost any area of the brain causes some loss of ability, which wouldn't happen if 90% were unused.</t>
        </is>
      </c>
      <c r="E59" s="2" t="inlineStr">
        <is>
          <t>- The myth is often traced to misquoted early 20th-century psychology.</t>
        </is>
      </c>
      <c r="F59" s="5" t="n"/>
      <c r="G59" s="5" t="n"/>
      <c r="H59" s="5" t="n"/>
    </row>
    <row r="60">
      <c r="A60" s="2" t="inlineStr">
        <is>
          <t>A08-06</t>
        </is>
      </c>
      <c r="B60" s="2" t="inlineStr">
        <is>
          <t>c4-a08</t>
        </is>
      </c>
      <c r="C60" s="2" t="inlineStr">
        <is>
          <t>Do we only use 10% of our brains?</t>
        </is>
      </c>
      <c r="D60" s="2" t="inlineStr">
        <is>
          <t>- The myth is often traced to misquoted early 20th-century psychology.</t>
        </is>
      </c>
      <c r="E60" s="2" t="inlineStr">
        <is>
          <t>- Scientists all agree that the brain is fully understood.</t>
        </is>
      </c>
      <c r="F60" s="5" t="n"/>
      <c r="G60" s="5" t="n"/>
      <c r="H60" s="5" t="n"/>
    </row>
    <row r="61">
      <c r="A61" s="2" t="inlineStr">
        <is>
          <t>A08-07</t>
        </is>
      </c>
      <c r="B61" s="2" t="inlineStr">
        <is>
          <t>c4-a08</t>
        </is>
      </c>
      <c r="C61" s="2" t="inlineStr">
        <is>
          <t>Do we only use 10% of our brains?</t>
        </is>
      </c>
      <c r="D61" s="2" t="inlineStr">
        <is>
          <t>- Scientists all agree that the brain is fully understood.</t>
        </is>
      </c>
      <c r="E61" s="2" t="inlineStr">
        <is>
          <t>**Bottom line:** You use virtually all of your brain, just not all of it at the same moment.</t>
        </is>
      </c>
      <c r="F61" s="5" t="n"/>
      <c r="G61" s="5" t="n"/>
      <c r="H61" s="5" t="n"/>
    </row>
    <row r="62">
      <c r="A62" s="2" t="inlineStr">
        <is>
          <t>A09-01</t>
        </is>
      </c>
      <c r="B62" s="2" t="inlineStr">
        <is>
          <t>c4-a09</t>
        </is>
      </c>
      <c r="C62" s="2" t="inlineStr">
        <is>
          <t>Is college necessary to get a good job?</t>
        </is>
      </c>
      <c r="D62" s="2" t="inlineStr"/>
      <c r="E62" s="2" t="inlineStr">
        <is>
          <t>A college degree helps many people, but it isn't the only path to a good job.</t>
        </is>
      </c>
      <c r="F62" s="5" t="n"/>
      <c r="G62" s="5" t="n"/>
      <c r="H62" s="5" t="n"/>
    </row>
    <row r="63">
      <c r="A63" s="2" t="inlineStr">
        <is>
          <t>A09-02</t>
        </is>
      </c>
      <c r="B63" s="2" t="inlineStr">
        <is>
          <t>c4-a09</t>
        </is>
      </c>
      <c r="C63" s="2" t="inlineStr">
        <is>
          <t>Is college necessary to get a good job?</t>
        </is>
      </c>
      <c r="D63" s="2" t="inlineStr">
        <is>
          <t>A college degree helps many people, but it isn't the only path to a good job.</t>
        </is>
      </c>
      <c r="E63" s="2" t="inlineStr">
        <is>
          <t>- **Earnings:** Bachelor's degree holders earn more on average than people with only a high school diploma.</t>
        </is>
      </c>
      <c r="F63" s="5" t="n"/>
      <c r="G63" s="5" t="n"/>
      <c r="H63" s="5" t="n"/>
    </row>
    <row r="64">
      <c r="A64" s="2" t="inlineStr">
        <is>
          <t>A09-03</t>
        </is>
      </c>
      <c r="B64" s="2" t="inlineStr">
        <is>
          <t>c4-a09</t>
        </is>
      </c>
      <c r="C64" s="2" t="inlineStr">
        <is>
          <t>Is college necessary to get a good job?</t>
        </is>
      </c>
      <c r="D64" s="2" t="inlineStr">
        <is>
          <t>- **Earnings:** Bachelor's degree holders earn more on average than people with only a high school diploma.</t>
        </is>
      </c>
      <c r="E64" s="2" t="inlineStr">
        <is>
          <t>- Without a degree, you will never earn a good salary.</t>
        </is>
      </c>
      <c r="F64" s="5" t="n"/>
      <c r="G64" s="5" t="n"/>
      <c r="H64" s="5" t="n"/>
    </row>
    <row r="65">
      <c r="A65" s="2" t="inlineStr">
        <is>
          <t>A09-04</t>
        </is>
      </c>
      <c r="B65" s="2" t="inlineStr">
        <is>
          <t>c4-a09</t>
        </is>
      </c>
      <c r="C65" s="2" t="inlineStr">
        <is>
          <t>Is college necessary to get a good job?</t>
        </is>
      </c>
      <c r="D65" s="2" t="inlineStr">
        <is>
          <t>- Without a degree, you will never earn a good salary.</t>
        </is>
      </c>
      <c r="E65" s="2" t="inlineStr">
        <is>
          <t>- **Trades:** Electricians, plumbers, and other skilled trades can earn solid incomes through apprenticeships.</t>
        </is>
      </c>
      <c r="F65" s="5" t="n"/>
      <c r="G65" s="5" t="n"/>
      <c r="H65" s="5" t="n"/>
    </row>
    <row r="66">
      <c r="A66" s="2" t="inlineStr">
        <is>
          <t>A09-05</t>
        </is>
      </c>
      <c r="B66" s="2" t="inlineStr">
        <is>
          <t>c4-a09</t>
        </is>
      </c>
      <c r="C66" s="2" t="inlineStr">
        <is>
          <t>Is college necessary to get a good job?</t>
        </is>
      </c>
      <c r="D66" s="2" t="inlineStr">
        <is>
          <t>- **Trades:** Electricians, plumbers, and other skilled trades can earn solid incomes through apprenticeships.</t>
        </is>
      </c>
      <c r="E66" s="2" t="inlineStr">
        <is>
          <t>- Employers only care about degrees.</t>
        </is>
      </c>
      <c r="F66" s="5" t="n"/>
      <c r="G66" s="5" t="n"/>
      <c r="H66" s="5" t="n"/>
    </row>
    <row r="67">
      <c r="A67" s="2" t="inlineStr">
        <is>
          <t>A09-06</t>
        </is>
      </c>
      <c r="B67" s="2" t="inlineStr">
        <is>
          <t>c4-a09</t>
        </is>
      </c>
      <c r="C67" s="2" t="inlineStr">
        <is>
          <t>Is college necessary to get a good job?</t>
        </is>
      </c>
      <c r="D67" s="2" t="inlineStr">
        <is>
          <t>- Employers only care about degrees.</t>
        </is>
      </c>
      <c r="E67" s="2" t="inlineStr">
        <is>
          <t>- Some large companies, including IBM and Google, have dropped degree requirements for some roles.</t>
        </is>
      </c>
      <c r="F67" s="5" t="n"/>
      <c r="G67" s="5" t="n"/>
      <c r="H67" s="5" t="n"/>
    </row>
    <row r="68">
      <c r="A68" s="2" t="inlineStr">
        <is>
          <t>A09-07</t>
        </is>
      </c>
      <c r="B68" s="2" t="inlineStr">
        <is>
          <t>c4-a09</t>
        </is>
      </c>
      <c r="C68" s="2" t="inlineStr">
        <is>
          <t>Is college necessary to get a good job?</t>
        </is>
      </c>
      <c r="D68" s="2" t="inlineStr">
        <is>
          <t>- Some large companies, including IBM and Google, have dropped degree requirements for some roles.</t>
        </is>
      </c>
      <c r="E68" s="2" t="inlineStr">
        <is>
          <t>**Bottom line:** Everyone should go to college.</t>
        </is>
      </c>
      <c r="F68" s="5" t="n"/>
      <c r="G68" s="5" t="n"/>
      <c r="H68" s="5" t="n"/>
    </row>
    <row r="69">
      <c r="A69" s="2" t="inlineStr">
        <is>
          <t>A10-01</t>
        </is>
      </c>
      <c r="B69" s="2" t="inlineStr">
        <is>
          <t>c4-a10</t>
        </is>
      </c>
      <c r="C69" s="2" t="inlineStr">
        <is>
          <t>Are electric cars cheaper to own than gas cars?</t>
        </is>
      </c>
      <c r="D69" s="2" t="inlineStr"/>
      <c r="E69" s="2" t="inlineStr">
        <is>
          <t>Electric cars can be cheaper to own, but it depends on how and where you drive.</t>
        </is>
      </c>
      <c r="F69" s="5" t="n"/>
      <c r="G69" s="5" t="n"/>
      <c r="H69" s="5" t="n"/>
    </row>
    <row r="70">
      <c r="A70" s="2" t="inlineStr">
        <is>
          <t>A10-02</t>
        </is>
      </c>
      <c r="B70" s="2" t="inlineStr">
        <is>
          <t>c4-a10</t>
        </is>
      </c>
      <c r="C70" s="2" t="inlineStr">
        <is>
          <t>Are electric cars cheaper to own than gas cars?</t>
        </is>
      </c>
      <c r="D70" s="2" t="inlineStr">
        <is>
          <t>Electric cars can be cheaper to own, but it depends on how and where you drive.</t>
        </is>
      </c>
      <c r="E70" s="2" t="inlineStr">
        <is>
          <t>- **Fuel:** Charging at home usually costs less per mile than gasoline.</t>
        </is>
      </c>
      <c r="F70" s="5" t="n"/>
      <c r="G70" s="5" t="n"/>
      <c r="H70" s="5" t="n"/>
    </row>
    <row r="71">
      <c r="A71" s="2" t="inlineStr">
        <is>
          <t>A10-03</t>
        </is>
      </c>
      <c r="B71" s="2" t="inlineStr">
        <is>
          <t>c4-a10</t>
        </is>
      </c>
      <c r="C71" s="2" t="inlineStr">
        <is>
          <t>Are electric cars cheaper to own than gas cars?</t>
        </is>
      </c>
      <c r="D71" s="2" t="inlineStr">
        <is>
          <t>- **Fuel:** Charging at home usually costs less per mile than gasoline.</t>
        </is>
      </c>
      <c r="E71" s="2" t="inlineStr">
        <is>
          <t>- **Maintenance:** EVs have fewer moving parts and don't need oil changes.</t>
        </is>
      </c>
      <c r="F71" s="5" t="n"/>
      <c r="G71" s="5" t="n"/>
      <c r="H71" s="5" t="n"/>
    </row>
    <row r="72">
      <c r="A72" s="2" t="inlineStr">
        <is>
          <t>A10-04</t>
        </is>
      </c>
      <c r="B72" s="2" t="inlineStr">
        <is>
          <t>c4-a10</t>
        </is>
      </c>
      <c r="C72" s="2" t="inlineStr">
        <is>
          <t>Are electric cars cheaper to own than gas cars?</t>
        </is>
      </c>
      <c r="D72" s="2" t="inlineStr">
        <is>
          <t>- **Maintenance:** EVs have fewer moving parts and don't need oil changes.</t>
        </is>
      </c>
      <c r="E72" s="2" t="inlineStr">
        <is>
          <t>- EVs never need repairs.</t>
        </is>
      </c>
      <c r="F72" s="5" t="n"/>
      <c r="G72" s="5" t="n"/>
      <c r="H72" s="5" t="n"/>
    </row>
    <row r="73">
      <c r="A73" s="2" t="inlineStr">
        <is>
          <t>A10-05</t>
        </is>
      </c>
      <c r="B73" s="2" t="inlineStr">
        <is>
          <t>c4-a10</t>
        </is>
      </c>
      <c r="C73" s="2" t="inlineStr">
        <is>
          <t>Are electric cars cheaper to own than gas cars?</t>
        </is>
      </c>
      <c r="D73" s="2" t="inlineStr">
        <is>
          <t>- EVs never need repairs.</t>
        </is>
      </c>
      <c r="E73" s="2" t="inlineStr">
        <is>
          <t>- **Purchase price:** EVs often cost more upfront, although tax credits can narrow the gap.</t>
        </is>
      </c>
      <c r="F73" s="5" t="n"/>
      <c r="G73" s="5" t="n"/>
      <c r="H73" s="5" t="n"/>
    </row>
    <row r="74">
      <c r="A74" s="2" t="inlineStr">
        <is>
          <t>A10-06</t>
        </is>
      </c>
      <c r="B74" s="2" t="inlineStr">
        <is>
          <t>c4-a10</t>
        </is>
      </c>
      <c r="C74" s="2" t="inlineStr">
        <is>
          <t>Are electric cars cheaper to own than gas cars?</t>
        </is>
      </c>
      <c r="D74" s="2" t="inlineStr">
        <is>
          <t>- **Purchase price:** EVs often cost more upfront, although tax credits can narrow the gap.</t>
        </is>
      </c>
      <c r="E74" s="2" t="inlineStr">
        <is>
          <t>- Electric cars are always cheaper than gas cars.</t>
        </is>
      </c>
      <c r="F74" s="5" t="n"/>
      <c r="G74" s="5" t="n"/>
      <c r="H74" s="5" t="n"/>
    </row>
    <row r="75">
      <c r="A75" s="2" t="inlineStr">
        <is>
          <t>A10-07</t>
        </is>
      </c>
      <c r="B75" s="2" t="inlineStr">
        <is>
          <t>c4-a10</t>
        </is>
      </c>
      <c r="C75" s="2" t="inlineStr">
        <is>
          <t>Are electric cars cheaper to own than gas cars?</t>
        </is>
      </c>
      <c r="D75" s="2" t="inlineStr">
        <is>
          <t>- Electric cars are always cheaper than gas cars.</t>
        </is>
      </c>
      <c r="E75" s="2" t="inlineStr">
        <is>
          <t>- **Insurance:** Premiums for EVs are sometimes higher because repairs can be expensive.</t>
        </is>
      </c>
      <c r="F75" s="5" t="n"/>
      <c r="G75" s="5" t="n"/>
      <c r="H75" s="5" t="n"/>
    </row>
    <row r="76">
      <c r="A76" s="2" t="inlineStr">
        <is>
          <t>A10-08</t>
        </is>
      </c>
      <c r="B76" s="2" t="inlineStr">
        <is>
          <t>c4-a10</t>
        </is>
      </c>
      <c r="C76" s="2" t="inlineStr">
        <is>
          <t>Are electric cars cheaper to own than gas cars?</t>
        </is>
      </c>
      <c r="D76" s="2" t="inlineStr">
        <is>
          <t>- **Insurance:** Premiums for EVs are sometimes higher because repairs can be expensive.</t>
        </is>
      </c>
      <c r="E76" s="2" t="inlineStr">
        <is>
          <t>**Bottom line:** Total cost of ownership varies with electricity prices, mileage, and the specific models compared.</t>
        </is>
      </c>
      <c r="F76" s="5" t="n"/>
      <c r="G76" s="5" t="n"/>
      <c r="H76" s="5" t="n"/>
    </row>
    <row r="77">
      <c r="A77" s="2" t="inlineStr">
        <is>
          <t>A11-01</t>
        </is>
      </c>
      <c r="B77" s="2" t="inlineStr">
        <is>
          <t>c4-a11</t>
        </is>
      </c>
      <c r="C77" s="2" t="inlineStr">
        <is>
          <t>What is a prime number?</t>
        </is>
      </c>
      <c r="D77" s="2" t="inlineStr"/>
      <c r="E77" s="2" t="inlineStr">
        <is>
          <t>A prime number is a whole number greater than 1 that has exactly two divisors: 1 and itself.</t>
        </is>
      </c>
      <c r="F77" s="5" t="n"/>
      <c r="G77" s="5" t="n"/>
      <c r="H77" s="5" t="n"/>
    </row>
    <row r="78">
      <c r="A78" s="2" t="inlineStr">
        <is>
          <t>A11-02</t>
        </is>
      </c>
      <c r="B78" s="2" t="inlineStr">
        <is>
          <t>c4-a11</t>
        </is>
      </c>
      <c r="C78" s="2" t="inlineStr">
        <is>
          <t>What is a prime number?</t>
        </is>
      </c>
      <c r="D78" s="2" t="inlineStr">
        <is>
          <t>A prime number is a whole number greater than 1 that has exactly two divisors: 1 and itself.</t>
        </is>
      </c>
      <c r="E78" s="2" t="inlineStr">
        <is>
          <t>- **Examples:** 2, 3, 5, 7, 11, and 13 are prime.</t>
        </is>
      </c>
      <c r="F78" s="5" t="n"/>
      <c r="G78" s="5" t="n"/>
      <c r="H78" s="5" t="n"/>
    </row>
    <row r="79">
      <c r="A79" s="2" t="inlineStr">
        <is>
          <t>A11-03</t>
        </is>
      </c>
      <c r="B79" s="2" t="inlineStr">
        <is>
          <t>c4-a11</t>
        </is>
      </c>
      <c r="C79" s="2" t="inlineStr">
        <is>
          <t>What is a prime number?</t>
        </is>
      </c>
      <c r="D79" s="2" t="inlineStr">
        <is>
          <t>- **Examples:** 2, 3, 5, 7, 11, and 13 are prime.</t>
        </is>
      </c>
      <c r="E79" s="2" t="inlineStr">
        <is>
          <t>- 2 is the only even prime number.</t>
        </is>
      </c>
      <c r="F79" s="5" t="n"/>
      <c r="G79" s="5" t="n"/>
      <c r="H79" s="5" t="n"/>
    </row>
    <row r="80">
      <c r="A80" s="2" t="inlineStr">
        <is>
          <t>A11-04</t>
        </is>
      </c>
      <c r="B80" s="2" t="inlineStr">
        <is>
          <t>c4-a11</t>
        </is>
      </c>
      <c r="C80" s="2" t="inlineStr">
        <is>
          <t>What is a prime number?</t>
        </is>
      </c>
      <c r="D80" s="2" t="inlineStr">
        <is>
          <t>- 2 is the only even prime number.</t>
        </is>
      </c>
      <c r="E80" s="2" t="inlineStr">
        <is>
          <t>- Every whole number greater than 1 is either prime or can be written as a product of primes.</t>
        </is>
      </c>
      <c r="F80" s="5" t="n"/>
      <c r="G80" s="5" t="n"/>
      <c r="H80" s="5" t="n"/>
    </row>
    <row r="81">
      <c r="A81" s="2" t="inlineStr">
        <is>
          <t>A11-05</t>
        </is>
      </c>
      <c r="B81" s="2" t="inlineStr">
        <is>
          <t>c4-a11</t>
        </is>
      </c>
      <c r="C81" s="2" t="inlineStr">
        <is>
          <t>What is a prime number?</t>
        </is>
      </c>
      <c r="D81" s="2" t="inlineStr">
        <is>
          <t>- Every whole number greater than 1 is either prime or can be written as a product of primes.</t>
        </is>
      </c>
      <c r="E81" s="2" t="inlineStr">
        <is>
          <t>- There are infinitely many prime numbers, as Euclid proved more than 2,000 years ago.</t>
        </is>
      </c>
      <c r="F81" s="5" t="n"/>
      <c r="G81" s="5" t="n"/>
      <c r="H81" s="5" t="n"/>
    </row>
    <row r="82">
      <c r="A82" s="2" t="inlineStr">
        <is>
          <t>A11-06</t>
        </is>
      </c>
      <c r="B82" s="2" t="inlineStr">
        <is>
          <t>c4-a11</t>
        </is>
      </c>
      <c r="C82" s="2" t="inlineStr">
        <is>
          <t>What is a prime number?</t>
        </is>
      </c>
      <c r="D82" s="2" t="inlineStr">
        <is>
          <t>- There are infinitely many prime numbers, as Euclid proved more than 2,000 years ago.</t>
        </is>
      </c>
      <c r="E82" s="2" t="inlineStr">
        <is>
          <t>- 1 is never considered prime.</t>
        </is>
      </c>
      <c r="F82" s="5" t="n"/>
      <c r="G82" s="5" t="n"/>
      <c r="H82" s="5" t="n"/>
    </row>
    <row r="83">
      <c r="A83" s="2" t="inlineStr">
        <is>
          <t>A11-07</t>
        </is>
      </c>
      <c r="B83" s="2" t="inlineStr">
        <is>
          <t>c4-a11</t>
        </is>
      </c>
      <c r="C83" s="2" t="inlineStr">
        <is>
          <t>What is a prime number?</t>
        </is>
      </c>
      <c r="D83" s="2" t="inlineStr">
        <is>
          <t>- 1 is never considered prime.</t>
        </is>
      </c>
      <c r="E83" s="2" t="inlineStr">
        <is>
          <t>- Primes are used in encryption methods like RSA.</t>
        </is>
      </c>
      <c r="F83" s="5" t="n"/>
      <c r="G83" s="5" t="n"/>
      <c r="H83" s="5" t="n"/>
    </row>
    <row r="84">
      <c r="A84" s="2" t="inlineStr">
        <is>
          <t>A12-01</t>
        </is>
      </c>
      <c r="B84" s="2" t="inlineStr">
        <is>
          <t>c4-a12</t>
        </is>
      </c>
      <c r="C84" s="2" t="inlineStr">
        <is>
          <t>What are the requirements to become US president?</t>
        </is>
      </c>
      <c r="D84" s="2" t="inlineStr"/>
      <c r="E84" s="2" t="inlineStr">
        <is>
          <t>The US Constitution sets three requirements to be president.</t>
        </is>
      </c>
      <c r="F84" s="5" t="n"/>
      <c r="G84" s="5" t="n"/>
      <c r="H84" s="5" t="n"/>
    </row>
    <row r="85">
      <c r="A85" s="2" t="inlineStr">
        <is>
          <t>A12-02</t>
        </is>
      </c>
      <c r="B85" s="2" t="inlineStr">
        <is>
          <t>c4-a12</t>
        </is>
      </c>
      <c r="C85" s="2" t="inlineStr">
        <is>
          <t>What are the requirements to become US president?</t>
        </is>
      </c>
      <c r="D85" s="2" t="inlineStr">
        <is>
          <t>The US Constitution sets three requirements to be president.</t>
        </is>
      </c>
      <c r="E85" s="2" t="inlineStr">
        <is>
          <t>- A president must be at least 35 years old.</t>
        </is>
      </c>
      <c r="F85" s="5" t="n"/>
      <c r="G85" s="5" t="n"/>
      <c r="H85" s="5" t="n"/>
    </row>
    <row r="86">
      <c r="A86" s="2" t="inlineStr">
        <is>
          <t>A12-03</t>
        </is>
      </c>
      <c r="B86" s="2" t="inlineStr">
        <is>
          <t>c4-a12</t>
        </is>
      </c>
      <c r="C86" s="2" t="inlineStr">
        <is>
          <t>What are the requirements to become US president?</t>
        </is>
      </c>
      <c r="D86" s="2" t="inlineStr">
        <is>
          <t>- A president must be at least 35 years old.</t>
        </is>
      </c>
      <c r="E86" s="2" t="inlineStr">
        <is>
          <t>- A president must be a natural-born citizen.</t>
        </is>
      </c>
      <c r="F86" s="5" t="n"/>
      <c r="G86" s="5" t="n"/>
      <c r="H86" s="5" t="n"/>
    </row>
    <row r="87">
      <c r="A87" s="2" t="inlineStr">
        <is>
          <t>A12-04</t>
        </is>
      </c>
      <c r="B87" s="2" t="inlineStr">
        <is>
          <t>c4-a12</t>
        </is>
      </c>
      <c r="C87" s="2" t="inlineStr">
        <is>
          <t>What are the requirements to become US president?</t>
        </is>
      </c>
      <c r="D87" s="2" t="inlineStr">
        <is>
          <t>- A president must be a natural-born citizen.</t>
        </is>
      </c>
      <c r="E87" s="2" t="inlineStr">
        <is>
          <t>- A president must have lived in the US for at least 14 years.</t>
        </is>
      </c>
      <c r="F87" s="5" t="n"/>
      <c r="G87" s="5" t="n"/>
      <c r="H87" s="5" t="n"/>
    </row>
    <row r="88">
      <c r="A88" s="2" t="inlineStr">
        <is>
          <t>A12-05</t>
        </is>
      </c>
      <c r="B88" s="2" t="inlineStr">
        <is>
          <t>c4-a12</t>
        </is>
      </c>
      <c r="C88" s="2" t="inlineStr">
        <is>
          <t>What are the requirements to become US president?</t>
        </is>
      </c>
      <c r="D88" s="2" t="inlineStr">
        <is>
          <t>- A president must have lived in the US for at least 14 years.</t>
        </is>
      </c>
      <c r="E88" s="2" t="inlineStr">
        <is>
          <t>- No one can be elected president more than twice, under the 22nd Amendment.</t>
        </is>
      </c>
      <c r="F88" s="5" t="n"/>
      <c r="G88" s="5" t="n"/>
      <c r="H88" s="5" t="n"/>
    </row>
    <row r="89">
      <c r="A89" s="2" t="inlineStr">
        <is>
          <t>A12-06</t>
        </is>
      </c>
      <c r="B89" s="2" t="inlineStr">
        <is>
          <t>c4-a12</t>
        </is>
      </c>
      <c r="C89" s="2" t="inlineStr">
        <is>
          <t>What are the requirements to become US president?</t>
        </is>
      </c>
      <c r="D89" s="2" t="inlineStr">
        <is>
          <t>- No one can be elected president more than twice, under the 22nd Amendment.</t>
        </is>
      </c>
      <c r="E89" s="2" t="inlineStr">
        <is>
          <t>- Every president so far has been a man.</t>
        </is>
      </c>
      <c r="F89" s="5" t="n"/>
      <c r="G89" s="5" t="n"/>
      <c r="H89" s="5" t="n"/>
    </row>
    <row r="90">
      <c r="A90" s="2" t="inlineStr">
        <is>
          <t>A12-07</t>
        </is>
      </c>
      <c r="B90" s="2" t="inlineStr">
        <is>
          <t>c4-a12</t>
        </is>
      </c>
      <c r="C90" s="2" t="inlineStr">
        <is>
          <t>What are the requirements to become US president?</t>
        </is>
      </c>
      <c r="D90" s="2" t="inlineStr">
        <is>
          <t>- Every president so far has been a man.</t>
        </is>
      </c>
      <c r="E90" s="2" t="inlineStr">
        <is>
          <t>- Presidents always win the popular vote.</t>
        </is>
      </c>
      <c r="F90" s="5" t="n"/>
      <c r="G90" s="5" t="n"/>
      <c r="H90" s="5" t="n"/>
    </row>
    <row r="91">
      <c r="A91" s="2" t="inlineStr">
        <is>
          <t>A13-01</t>
        </is>
      </c>
      <c r="B91" s="2" t="inlineStr">
        <is>
          <t>c4-a13</t>
        </is>
      </c>
      <c r="C91" s="2" t="inlineStr">
        <is>
          <t>How do leap years work?</t>
        </is>
      </c>
      <c r="D91" s="2" t="inlineStr"/>
      <c r="E91" s="2" t="inlineStr">
        <is>
          <t>A leap year adds an extra day, February 29, to keep the calendar in line with Earth's orbit.</t>
        </is>
      </c>
      <c r="F91" s="5" t="n"/>
      <c r="G91" s="5" t="n"/>
      <c r="H91" s="5" t="n"/>
    </row>
    <row r="92">
      <c r="A92" s="2" t="inlineStr">
        <is>
          <t>A13-02</t>
        </is>
      </c>
      <c r="B92" s="2" t="inlineStr">
        <is>
          <t>c4-a13</t>
        </is>
      </c>
      <c r="C92" s="2" t="inlineStr">
        <is>
          <t>How do leap years work?</t>
        </is>
      </c>
      <c r="D92" s="2" t="inlineStr">
        <is>
          <t>A leap year adds an extra day, February 29, to keep the calendar in line with Earth's orbit.</t>
        </is>
      </c>
      <c r="E92" s="2" t="inlineStr">
        <is>
          <t>- Earth takes about 365.24 days to orbit the Sun.</t>
        </is>
      </c>
      <c r="F92" s="5" t="n"/>
      <c r="G92" s="5" t="n"/>
      <c r="H92" s="5" t="n"/>
    </row>
    <row r="93">
      <c r="A93" s="2" t="inlineStr">
        <is>
          <t>A13-03</t>
        </is>
      </c>
      <c r="B93" s="2" t="inlineStr">
        <is>
          <t>c4-a13</t>
        </is>
      </c>
      <c r="C93" s="2" t="inlineStr">
        <is>
          <t>How do leap years work?</t>
        </is>
      </c>
      <c r="D93" s="2" t="inlineStr">
        <is>
          <t>- Earth takes about 365.24 days to orbit the Sun.</t>
        </is>
      </c>
      <c r="E93" s="2" t="inlineStr">
        <is>
          <t>- **The rule:** A year is a leap year if it is divisible by 4.</t>
        </is>
      </c>
      <c r="F93" s="5" t="n"/>
      <c r="G93" s="5" t="n"/>
      <c r="H93" s="5" t="n"/>
    </row>
    <row r="94">
      <c r="A94" s="2" t="inlineStr">
        <is>
          <t>A13-04</t>
        </is>
      </c>
      <c r="B94" s="2" t="inlineStr">
        <is>
          <t>c4-a13</t>
        </is>
      </c>
      <c r="C94" s="2" t="inlineStr">
        <is>
          <t>How do leap years work?</t>
        </is>
      </c>
      <c r="D94" s="2" t="inlineStr">
        <is>
          <t>- **The rule:** A year is a leap year if it is divisible by 4.</t>
        </is>
      </c>
      <c r="E94" s="2" t="inlineStr">
        <is>
          <t>- Years divisible by 100 are not leap years, unless they are also divisible by 400.</t>
        </is>
      </c>
      <c r="F94" s="5" t="n"/>
      <c r="G94" s="5" t="n"/>
      <c r="H94" s="5" t="n"/>
    </row>
    <row r="95">
      <c r="A95" s="2" t="inlineStr">
        <is>
          <t>A13-05</t>
        </is>
      </c>
      <c r="B95" s="2" t="inlineStr">
        <is>
          <t>c4-a13</t>
        </is>
      </c>
      <c r="C95" s="2" t="inlineStr">
        <is>
          <t>How do leap years work?</t>
        </is>
      </c>
      <c r="D95" s="2" t="inlineStr">
        <is>
          <t>- Years divisible by 100 are not leap years, unless they are also divisible by 400.</t>
        </is>
      </c>
      <c r="E95" s="2" t="inlineStr">
        <is>
          <t>- That's why 2000 was a leap year but 1900 was not.</t>
        </is>
      </c>
      <c r="F95" s="5" t="n"/>
      <c r="G95" s="5" t="n"/>
      <c r="H95" s="5" t="n"/>
    </row>
    <row r="96">
      <c r="A96" s="2" t="inlineStr">
        <is>
          <t>A13-06</t>
        </is>
      </c>
      <c r="B96" s="2" t="inlineStr">
        <is>
          <t>c4-a13</t>
        </is>
      </c>
      <c r="C96" s="2" t="inlineStr">
        <is>
          <t>How do leap years work?</t>
        </is>
      </c>
      <c r="D96" s="2" t="inlineStr">
        <is>
          <t>- That's why 2000 was a leap year but 1900 was not.</t>
        </is>
      </c>
      <c r="E96" s="2" t="inlineStr">
        <is>
          <t>- Every leap year has 366 days.</t>
        </is>
      </c>
      <c r="F96" s="5" t="n"/>
      <c r="G96" s="5" t="n"/>
      <c r="H96" s="5" t="n"/>
    </row>
    <row r="97">
      <c r="A97" s="2" t="inlineStr">
        <is>
          <t>A13-07</t>
        </is>
      </c>
      <c r="B97" s="2" t="inlineStr">
        <is>
          <t>c4-a13</t>
        </is>
      </c>
      <c r="C97" s="2" t="inlineStr">
        <is>
          <t>How do leap years work?</t>
        </is>
      </c>
      <c r="D97" s="2" t="inlineStr">
        <is>
          <t>- Every leap year has 366 days.</t>
        </is>
      </c>
      <c r="E97" s="2" t="inlineStr">
        <is>
          <t>- Leap years always fall in US presidential election years.</t>
        </is>
      </c>
      <c r="F97" s="5" t="n"/>
      <c r="G97" s="5" t="n"/>
      <c r="H97" s="5" t="n"/>
    </row>
    <row r="98">
      <c r="A98" s="2" t="inlineStr">
        <is>
          <t>A14-01</t>
        </is>
      </c>
      <c r="B98" s="2" t="inlineStr">
        <is>
          <t>c4-a14</t>
        </is>
      </c>
      <c r="C98" s="2" t="inlineStr">
        <is>
          <t>Does social media make people lonely?</t>
        </is>
      </c>
      <c r="D98" s="2" t="inlineStr"/>
      <c r="E98" s="2" t="inlineStr">
        <is>
          <t>The relationship between social media and loneliness is real but complicated.</t>
        </is>
      </c>
      <c r="F98" s="5" t="n"/>
      <c r="G98" s="5" t="n"/>
      <c r="H98" s="5" t="n"/>
    </row>
    <row r="99">
      <c r="A99" s="2" t="inlineStr">
        <is>
          <t>A14-02</t>
        </is>
      </c>
      <c r="B99" s="2" t="inlineStr">
        <is>
          <t>c4-a14</t>
        </is>
      </c>
      <c r="C99" s="2" t="inlineStr">
        <is>
          <t>Does social media make people lonely?</t>
        </is>
      </c>
      <c r="D99" s="2" t="inlineStr">
        <is>
          <t>The relationship between social media and loneliness is real but complicated.</t>
        </is>
      </c>
      <c r="E99" s="2" t="inlineStr">
        <is>
          <t>- Some studies have found that heavy social media users report feeling lonelier.</t>
        </is>
      </c>
      <c r="F99" s="5" t="n"/>
      <c r="G99" s="5" t="n"/>
      <c r="H99" s="5" t="n"/>
    </row>
    <row r="100">
      <c r="A100" s="2" t="inlineStr">
        <is>
          <t>A14-03</t>
        </is>
      </c>
      <c r="B100" s="2" t="inlineStr">
        <is>
          <t>c4-a14</t>
        </is>
      </c>
      <c r="C100" s="2" t="inlineStr">
        <is>
          <t>Does social media make people lonely?</t>
        </is>
      </c>
      <c r="D100" s="2" t="inlineStr">
        <is>
          <t>- Some studies have found that heavy social media users report feeling lonelier.</t>
        </is>
      </c>
      <c r="E100" s="2" t="inlineStr">
        <is>
          <t>- A 2018 University of Pennsylvania experiment found that limiting social media to 30 minutes a day reduced loneliness and depression over three weeks.</t>
        </is>
      </c>
      <c r="F100" s="5" t="n"/>
      <c r="G100" s="5" t="n"/>
      <c r="H100" s="5" t="n"/>
    </row>
    <row r="101">
      <c r="A101" s="2" t="inlineStr">
        <is>
          <t>A14-04</t>
        </is>
      </c>
      <c r="B101" s="2" t="inlineStr">
        <is>
          <t>c4-a14</t>
        </is>
      </c>
      <c r="C101" s="2" t="inlineStr">
        <is>
          <t>Does social media make people lonely?</t>
        </is>
      </c>
      <c r="D101" s="2" t="inlineStr">
        <is>
          <t>- A 2018 University of Pennsylvania experiment found that limiting social media to 30 minutes a day reduced loneliness and depression over three weeks.</t>
        </is>
      </c>
      <c r="E101" s="2" t="inlineStr">
        <is>
          <t>- Social media destroys real friendships.</t>
        </is>
      </c>
      <c r="F101" s="5" t="n"/>
      <c r="G101" s="5" t="n"/>
      <c r="H101" s="5" t="n"/>
    </row>
    <row r="102">
      <c r="A102" s="2" t="inlineStr">
        <is>
          <t>A14-05</t>
        </is>
      </c>
      <c r="B102" s="2" t="inlineStr">
        <is>
          <t>c4-a14</t>
        </is>
      </c>
      <c r="C102" s="2" t="inlineStr">
        <is>
          <t>Does social media make people lonely?</t>
        </is>
      </c>
      <c r="D102" s="2" t="inlineStr">
        <is>
          <t>- Social media destroys real friendships.</t>
        </is>
      </c>
      <c r="E102" s="2" t="inlineStr">
        <is>
          <t>- Teenagers are addicted to their phones.</t>
        </is>
      </c>
      <c r="F102" s="5" t="n"/>
      <c r="G102" s="5" t="n"/>
      <c r="H102" s="5" t="n"/>
    </row>
    <row r="103">
      <c r="A103" s="2" t="inlineStr">
        <is>
          <t>A14-06</t>
        </is>
      </c>
      <c r="B103" s="2" t="inlineStr">
        <is>
          <t>c4-a14</t>
        </is>
      </c>
      <c r="C103" s="2" t="inlineStr">
        <is>
          <t>Does social media make people lonely?</t>
        </is>
      </c>
      <c r="D103" s="2" t="inlineStr">
        <is>
          <t>- Teenagers are addicted to their phones.</t>
        </is>
      </c>
      <c r="E103" s="2" t="inlineStr">
        <is>
          <t>- **Active vs. passive use:** Messaging friends may help, while passive scrolling seems more likely to hurt.</t>
        </is>
      </c>
      <c r="F103" s="5" t="n"/>
      <c r="G103" s="5" t="n"/>
      <c r="H103" s="5" t="n"/>
    </row>
    <row r="104">
      <c r="A104" s="2" t="inlineStr">
        <is>
          <t>A14-07</t>
        </is>
      </c>
      <c r="B104" s="2" t="inlineStr">
        <is>
          <t>c4-a14</t>
        </is>
      </c>
      <c r="C104" s="2" t="inlineStr">
        <is>
          <t>Does social media make people lonely?</t>
        </is>
      </c>
      <c r="D104" s="2" t="inlineStr">
        <is>
          <t>- **Active vs. passive use:** Messaging friends may help, while passive scrolling seems more likely to hurt.</t>
        </is>
      </c>
      <c r="E104" s="2" t="inlineStr">
        <is>
          <t>- Lonely people may also be more likely to use social media in the first place, so the causation can run both ways.</t>
        </is>
      </c>
      <c r="F104" s="5" t="n"/>
      <c r="G104" s="5" t="n"/>
      <c r="H104" s="5" t="n"/>
    </row>
    <row r="105">
      <c r="A105" s="2" t="inlineStr">
        <is>
          <t>A15-01</t>
        </is>
      </c>
      <c r="B105" s="2" t="inlineStr">
        <is>
          <t>c4-a15</t>
        </is>
      </c>
      <c r="C105" s="2" t="inlineStr">
        <is>
          <t>Will AI replace software engineers?</t>
        </is>
      </c>
      <c r="D105" s="2" t="inlineStr"/>
      <c r="E105" s="2" t="inlineStr">
        <is>
          <t>AI is changing software engineering, but full replacement is unlikely soon.</t>
        </is>
      </c>
      <c r="F105" s="5" t="n"/>
      <c r="G105" s="5" t="n"/>
      <c r="H105" s="5" t="n"/>
    </row>
    <row r="106">
      <c r="A106" s="2" t="inlineStr">
        <is>
          <t>A15-02</t>
        </is>
      </c>
      <c r="B106" s="2" t="inlineStr">
        <is>
          <t>c4-a15</t>
        </is>
      </c>
      <c r="C106" s="2" t="inlineStr">
        <is>
          <t>Will AI replace software engineers?</t>
        </is>
      </c>
      <c r="D106" s="2" t="inlineStr">
        <is>
          <t>AI is changing software engineering, but full replacement is unlikely soon.</t>
        </is>
      </c>
      <c r="E106" s="2" t="inlineStr">
        <is>
          <t>- AI coding assistants can write boilerplate code, suggest fixes, and explain unfamiliar code.</t>
        </is>
      </c>
      <c r="F106" s="5" t="n"/>
      <c r="G106" s="5" t="n"/>
      <c r="H106" s="5" t="n"/>
    </row>
    <row r="107">
      <c r="A107" s="2" t="inlineStr">
        <is>
          <t>A15-03</t>
        </is>
      </c>
      <c r="B107" s="2" t="inlineStr">
        <is>
          <t>c4-a15</t>
        </is>
      </c>
      <c r="C107" s="2" t="inlineStr">
        <is>
          <t>Will AI replace software engineers?</t>
        </is>
      </c>
      <c r="D107" s="2" t="inlineStr">
        <is>
          <t>- AI coding assistants can write boilerplate code, suggest fixes, and explain unfamiliar code.</t>
        </is>
      </c>
      <c r="E107" s="2" t="inlineStr">
        <is>
          <t>- AI will replace all programmers within five years.</t>
        </is>
      </c>
      <c r="F107" s="5" t="n"/>
      <c r="G107" s="5" t="n"/>
      <c r="H107" s="5" t="n"/>
    </row>
    <row r="108">
      <c r="A108" s="2" t="inlineStr">
        <is>
          <t>A15-04</t>
        </is>
      </c>
      <c r="B108" s="2" t="inlineStr">
        <is>
          <t>c4-a15</t>
        </is>
      </c>
      <c r="C108" s="2" t="inlineStr">
        <is>
          <t>Will AI replace software engineers?</t>
        </is>
      </c>
      <c r="D108" s="2" t="inlineStr">
        <is>
          <t>- AI will replace all programmers within five years.</t>
        </is>
      </c>
      <c r="E108" s="2" t="inlineStr">
        <is>
          <t>- Developers who use AI tools are always more productive.</t>
        </is>
      </c>
      <c r="F108" s="5" t="n"/>
      <c r="G108" s="5" t="n"/>
      <c r="H108" s="5" t="n"/>
    </row>
    <row r="109">
      <c r="A109" s="2" t="inlineStr">
        <is>
          <t>A15-05</t>
        </is>
      </c>
      <c r="B109" s="2" t="inlineStr">
        <is>
          <t>c4-a15</t>
        </is>
      </c>
      <c r="C109" s="2" t="inlineStr">
        <is>
          <t>Will AI replace software engineers?</t>
        </is>
      </c>
      <c r="D109" s="2" t="inlineStr">
        <is>
          <t>- Developers who use AI tools are always more productive.</t>
        </is>
      </c>
      <c r="E109" s="2" t="inlineStr">
        <is>
          <t>- Some controlled studies have found faster task completion with AI assistants, while others found slowdowns for experienced developers.</t>
        </is>
      </c>
      <c r="F109" s="5" t="n"/>
      <c r="G109" s="5" t="n"/>
      <c r="H109" s="5" t="n"/>
    </row>
    <row r="110">
      <c r="A110" s="2" t="inlineStr">
        <is>
          <t>A15-06</t>
        </is>
      </c>
      <c r="B110" s="2" t="inlineStr">
        <is>
          <t>c4-a15</t>
        </is>
      </c>
      <c r="C110" s="2" t="inlineStr">
        <is>
          <t>Will AI replace software engineers?</t>
        </is>
      </c>
      <c r="D110" s="2" t="inlineStr">
        <is>
          <t>- Some controlled studies have found faster task completion with AI assistants, while others found slowdowns for experienced developers.</t>
        </is>
      </c>
      <c r="E110" s="2" t="inlineStr">
        <is>
          <t>- Engineers still need to design systems, review AI output, and decide what to build.</t>
        </is>
      </c>
      <c r="F110" s="5" t="n"/>
      <c r="G110" s="5" t="n"/>
      <c r="H110" s="5" t="n"/>
    </row>
    <row r="111">
      <c r="A111" s="2" t="inlineStr">
        <is>
          <t>A15-07</t>
        </is>
      </c>
      <c r="B111" s="2" t="inlineStr">
        <is>
          <t>c4-a15</t>
        </is>
      </c>
      <c r="C111" s="2" t="inlineStr">
        <is>
          <t>Will AI replace software engineers?</t>
        </is>
      </c>
      <c r="D111" s="2" t="inlineStr">
        <is>
          <t>- Engineers still need to design systems, review AI output, and decide what to build.</t>
        </is>
      </c>
      <c r="E111" s="2" t="inlineStr">
        <is>
          <t>- Junior developers have nothing to fear.</t>
        </is>
      </c>
      <c r="F111" s="5" t="n"/>
      <c r="G111" s="5" t="n"/>
      <c r="H111" s="5" t="n"/>
    </row>
    <row r="112">
      <c r="A112" s="2" t="inlineStr">
        <is>
          <t>A16-01</t>
        </is>
      </c>
      <c r="B112" s="2" t="inlineStr">
        <is>
          <t>c4-a16</t>
        </is>
      </c>
      <c r="C112" s="2" t="inlineStr">
        <is>
          <t>Do multivitamins work?</t>
        </is>
      </c>
      <c r="D112" s="2" t="inlineStr"/>
      <c r="E112" s="2" t="inlineStr">
        <is>
          <t>For most healthy adults who eat a balanced diet, multivitamins offer little measurable benefit.</t>
        </is>
      </c>
      <c r="F112" s="5" t="n"/>
      <c r="G112" s="5" t="n"/>
      <c r="H112" s="5" t="n"/>
    </row>
    <row r="113">
      <c r="A113" s="2" t="inlineStr">
        <is>
          <t>A16-02</t>
        </is>
      </c>
      <c r="B113" s="2" t="inlineStr">
        <is>
          <t>c4-a16</t>
        </is>
      </c>
      <c r="C113" s="2" t="inlineStr">
        <is>
          <t>Do multivitamins work?</t>
        </is>
      </c>
      <c r="D113" s="2" t="inlineStr">
        <is>
          <t>For most healthy adults who eat a balanced diet, multivitamins offer little measurable benefit.</t>
        </is>
      </c>
      <c r="E113" s="2" t="inlineStr">
        <is>
          <t>- A 2022 US Preventive Services Task Force review found insufficient evidence that multivitamins prevent heart disease or cancer.</t>
        </is>
      </c>
      <c r="F113" s="5" t="n"/>
      <c r="G113" s="5" t="n"/>
      <c r="H113" s="5" t="n"/>
    </row>
    <row r="114">
      <c r="A114" s="2" t="inlineStr">
        <is>
          <t>A16-03</t>
        </is>
      </c>
      <c r="B114" s="2" t="inlineStr">
        <is>
          <t>c4-a16</t>
        </is>
      </c>
      <c r="C114" s="2" t="inlineStr">
        <is>
          <t>Do multivitamins work?</t>
        </is>
      </c>
      <c r="D114" s="2" t="inlineStr">
        <is>
          <t>- A 2022 US Preventive Services Task Force review found insufficient evidence that multivitamins prevent heart disease or cancer.</t>
        </is>
      </c>
      <c r="E114" s="2" t="inlineStr">
        <is>
          <t>- **Who may benefit:** Pregnant people, older adults, and people with certain deficiencies or restricted diets may need specific supplements.</t>
        </is>
      </c>
      <c r="F114" s="5" t="n"/>
      <c r="G114" s="5" t="n"/>
      <c r="H114" s="5" t="n"/>
    </row>
    <row r="115">
      <c r="A115" s="2" t="inlineStr">
        <is>
          <t>A16-04</t>
        </is>
      </c>
      <c r="B115" s="2" t="inlineStr">
        <is>
          <t>c4-a16</t>
        </is>
      </c>
      <c r="C115" s="2" t="inlineStr">
        <is>
          <t>Do multivitamins work?</t>
        </is>
      </c>
      <c r="D115" s="2" t="inlineStr">
        <is>
          <t>- **Who may benefit:** Pregnant people, older adults, and people with certain deficiencies or restricted diets may need specific supplements.</t>
        </is>
      </c>
      <c r="E115" s="2" t="inlineStr">
        <is>
          <t>- Vitamins are natural, so they can never hurt you.</t>
        </is>
      </c>
      <c r="F115" s="5" t="n"/>
      <c r="G115" s="5" t="n"/>
      <c r="H115" s="5" t="n"/>
    </row>
    <row r="116">
      <c r="A116" s="2" t="inlineStr">
        <is>
          <t>A16-05</t>
        </is>
      </c>
      <c r="B116" s="2" t="inlineStr">
        <is>
          <t>c4-a16</t>
        </is>
      </c>
      <c r="C116" s="2" t="inlineStr">
        <is>
          <t>Do multivitamins work?</t>
        </is>
      </c>
      <c r="D116" s="2" t="inlineStr">
        <is>
          <t>- Vitamins are natural, so they can never hurt you.</t>
        </is>
      </c>
      <c r="E116" s="2" t="inlineStr">
        <is>
          <t>- Taking extra vitamin D is good for everyone.</t>
        </is>
      </c>
      <c r="F116" s="5" t="n"/>
      <c r="G116" s="5" t="n"/>
      <c r="H116" s="5" t="n"/>
    </row>
    <row r="117">
      <c r="A117" s="2" t="inlineStr">
        <is>
          <t>A16-06</t>
        </is>
      </c>
      <c r="B117" s="2" t="inlineStr">
        <is>
          <t>c4-a16</t>
        </is>
      </c>
      <c r="C117" s="2" t="inlineStr">
        <is>
          <t>Do multivitamins work?</t>
        </is>
      </c>
      <c r="D117" s="2" t="inlineStr">
        <is>
          <t>- Taking extra vitamin D is good for everyone.</t>
        </is>
      </c>
      <c r="E117" s="2" t="inlineStr">
        <is>
          <t>- High doses of some vitamins, like A and D, can be harmful.</t>
        </is>
      </c>
      <c r="F117" s="5" t="n"/>
      <c r="G117" s="5" t="n"/>
      <c r="H117" s="5" t="n"/>
    </row>
    <row r="118">
      <c r="A118" s="2" t="inlineStr">
        <is>
          <t>A16-07</t>
        </is>
      </c>
      <c r="B118" s="2" t="inlineStr">
        <is>
          <t>c4-a16</t>
        </is>
      </c>
      <c r="C118" s="2" t="inlineStr">
        <is>
          <t>Do multivitamins work?</t>
        </is>
      </c>
      <c r="D118" s="2" t="inlineStr">
        <is>
          <t>- High doses of some vitamins, like A and D, can be harmful.</t>
        </is>
      </c>
      <c r="E118" s="2" t="inlineStr">
        <is>
          <t>- Supplements are not a substitute for a healthy diet.</t>
        </is>
      </c>
      <c r="F118" s="5" t="n"/>
      <c r="G118" s="5" t="n"/>
      <c r="H118" s="5" t="n"/>
    </row>
  </sheetData>
  <dataValidations count="1">
    <dataValidation sqref="F2:G118" showDropDown="0" showInputMessage="0" showErrorMessage="0" allowBlank="1" type="list">
      <formula1>"met,not_met,unsure"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8" customWidth="1" min="3" max="3"/>
    <col width="40" customWidth="1" min="4" max="4"/>
    <col width="60" customWidth="1" min="5" max="5"/>
    <col width="12" customWidth="1" min="6" max="6"/>
    <col width="12" customWidth="1" min="7" max="7"/>
    <col width="30" customWidth="1" min="8" max="8"/>
  </cols>
  <sheetData>
    <row r="1">
      <c r="A1" s="4" t="inlineStr">
        <is>
          <t>Row ID</t>
        </is>
      </c>
      <c r="B1" s="4" t="inlineStr">
        <is>
          <t>Answer ID</t>
        </is>
      </c>
      <c r="C1" s="4" t="inlineStr">
        <is>
          <t>Question</t>
        </is>
      </c>
      <c r="D1" s="4" t="inlineStr">
        <is>
          <t>Previous sentence</t>
        </is>
      </c>
      <c r="E1" s="4" t="inlineStr">
        <is>
          <t>Sentence</t>
        </is>
      </c>
      <c r="F1" s="4" t="inlineStr">
        <is>
          <t>Gideon C4</t>
        </is>
      </c>
      <c r="G1" s="4" t="inlineStr">
        <is>
          <t>Suning C4</t>
        </is>
      </c>
      <c r="H1" s="4" t="inlineStr">
        <is>
          <t>Notes</t>
        </is>
      </c>
    </row>
    <row r="2">
      <c r="A2" s="2" t="inlineStr">
        <is>
          <t>C01-01</t>
        </is>
      </c>
      <c r="B2" s="2" t="inlineStr">
        <is>
          <t>c4-c01</t>
        </is>
      </c>
      <c r="C2" s="2" t="inlineStr">
        <is>
          <t>Is breakfast the most important meal of the day?</t>
        </is>
      </c>
      <c r="D2" s="2" t="inlineStr"/>
      <c r="E2" s="2" t="inlineStr">
        <is>
          <t>Breakfast can be an important meal, but the idea that it is the most important meal of the day is more of a popular saying than a scientific fact.</t>
        </is>
      </c>
      <c r="F2" s="5" t="n"/>
      <c r="G2" s="5" t="n"/>
      <c r="H2" s="5" t="n"/>
    </row>
    <row r="3">
      <c r="A3" s="2" t="inlineStr">
        <is>
          <t>C01-02</t>
        </is>
      </c>
      <c r="B3" s="2" t="inlineStr">
        <is>
          <t>c4-c01</t>
        </is>
      </c>
      <c r="C3" s="2" t="inlineStr">
        <is>
          <t>Is breakfast the most important meal of the day?</t>
        </is>
      </c>
      <c r="D3" s="2" t="inlineStr">
        <is>
          <t>Breakfast can be an important meal, but the idea that it is the most important meal of the day is more of a popular saying than a scientific fact.</t>
        </is>
      </c>
      <c r="E3" s="2" t="inlineStr">
        <is>
          <t>The truth is that what you eat throughout the day, how much you eat, and the quality of your diet matter more than whether you eat breakfast specifically.</t>
        </is>
      </c>
      <c r="F3" s="5" t="n"/>
      <c r="G3" s="5" t="n"/>
      <c r="H3" s="5" t="n"/>
    </row>
    <row r="4">
      <c r="A4" s="2" t="inlineStr">
        <is>
          <t>C01-03</t>
        </is>
      </c>
      <c r="B4" s="2" t="inlineStr">
        <is>
          <t>c4-c01</t>
        </is>
      </c>
      <c r="C4" s="2" t="inlineStr">
        <is>
          <t>Is breakfast the most important meal of the day?</t>
        </is>
      </c>
      <c r="D4" s="2" t="inlineStr">
        <is>
          <t>The truth is that what you eat throughout the day, how much you eat, and the quality of your diet matter more than whether you eat breakfast specifically.</t>
        </is>
      </c>
      <c r="E4" s="2" t="inlineStr">
        <is>
          <t>After sleeping overnight, breakfast gives you an opportunity to replenish energy and nutrients.</t>
        </is>
      </c>
      <c r="F4" s="5" t="n"/>
      <c r="G4" s="5" t="n"/>
      <c r="H4" s="5" t="n"/>
    </row>
    <row r="5">
      <c r="A5" s="2" t="inlineStr">
        <is>
          <t>C01-04</t>
        </is>
      </c>
      <c r="B5" s="2" t="inlineStr">
        <is>
          <t>c4-c01</t>
        </is>
      </c>
      <c r="C5" s="2" t="inlineStr">
        <is>
          <t>Is breakfast the most important meal of the day?</t>
        </is>
      </c>
      <c r="D5" s="2" t="inlineStr">
        <is>
          <t>After sleeping overnight, breakfast gives you an opportunity to replenish energy and nutrients.</t>
        </is>
      </c>
      <c r="E5" s="2" t="inlineStr">
        <is>
          <t>A balanced breakfast can help you feel ready for your morning activities.</t>
        </is>
      </c>
      <c r="F5" s="5" t="n"/>
      <c r="G5" s="5" t="n"/>
      <c r="H5" s="5" t="n"/>
    </row>
    <row r="6">
      <c r="A6" s="2" t="inlineStr">
        <is>
          <t>C01-05</t>
        </is>
      </c>
      <c r="B6" s="2" t="inlineStr">
        <is>
          <t>c4-c01</t>
        </is>
      </c>
      <c r="C6" s="2" t="inlineStr">
        <is>
          <t>Is breakfast the most important meal of the day?</t>
        </is>
      </c>
      <c r="D6" s="2" t="inlineStr">
        <is>
          <t>A balanced breakfast can help you feel ready for your morning activities.</t>
        </is>
      </c>
      <c r="E6" s="2" t="inlineStr">
        <is>
          <t>For some people, particularly children and students, eating breakfast can improve aspects of attention and memory, especially when they are hungry.</t>
        </is>
      </c>
      <c r="F6" s="5" t="n"/>
      <c r="G6" s="5" t="n"/>
      <c r="H6" s="5" t="n"/>
    </row>
    <row r="7">
      <c r="A7" s="2" t="inlineStr">
        <is>
          <t>C01-06</t>
        </is>
      </c>
      <c r="B7" s="2" t="inlineStr">
        <is>
          <t>c4-c01</t>
        </is>
      </c>
      <c r="C7" s="2" t="inlineStr">
        <is>
          <t>Is breakfast the most important meal of the day?</t>
        </is>
      </c>
      <c r="D7" s="2" t="inlineStr">
        <is>
          <t>For some people, particularly children and students, eating breakfast can improve aspects of attention and memory, especially when they are hungry.</t>
        </is>
      </c>
      <c r="E7" s="2" t="inlineStr">
        <is>
          <t>Foods such as eggs, oats, yogurt, fruit, and whole grains provide protein, fiber, vitamins, and minerals that contribute to a balanced diet.</t>
        </is>
      </c>
      <c r="F7" s="5" t="n"/>
      <c r="G7" s="5" t="n"/>
      <c r="H7" s="5" t="n"/>
    </row>
    <row r="8">
      <c r="A8" s="2" t="inlineStr">
        <is>
          <t>C01-07</t>
        </is>
      </c>
      <c r="B8" s="2" t="inlineStr">
        <is>
          <t>c4-c01</t>
        </is>
      </c>
      <c r="C8" s="2" t="inlineStr">
        <is>
          <t>Is breakfast the most important meal of the day?</t>
        </is>
      </c>
      <c r="D8" s="2" t="inlineStr">
        <is>
          <t>Foods such as eggs, oats, yogurt, fruit, and whole grains provide protein, fiber, vitamins, and minerals that contribute to a balanced diet.</t>
        </is>
      </c>
      <c r="E8" s="2" t="inlineStr">
        <is>
          <t>Research suggests the answer depends on what outcome you're looking at.</t>
        </is>
      </c>
      <c r="F8" s="5" t="n"/>
      <c r="G8" s="5" t="n"/>
      <c r="H8" s="5" t="n"/>
    </row>
    <row r="9">
      <c r="A9" s="2" t="inlineStr">
        <is>
          <t>C01-08</t>
        </is>
      </c>
      <c r="B9" s="2" t="inlineStr">
        <is>
          <t>c4-c01</t>
        </is>
      </c>
      <c r="C9" s="2" t="inlineStr">
        <is>
          <t>Is breakfast the most important meal of the day?</t>
        </is>
      </c>
      <c r="D9" s="2" t="inlineStr">
        <is>
          <t>Research suggests the answer depends on what outcome you're looking at.</t>
        </is>
      </c>
      <c r="E9" s="2" t="inlineStr">
        <is>
          <t>Weight loss: A 2019 systematic review of randomized controlled trials found no evidence that eating breakfast automatically helps people lose weight or that skipping it causes weight gain.</t>
        </is>
      </c>
      <c r="F9" s="5" t="n"/>
      <c r="G9" s="5" t="n"/>
      <c r="H9" s="5" t="n"/>
    </row>
    <row r="10">
      <c r="A10" s="2" t="inlineStr">
        <is>
          <t>C01-09</t>
        </is>
      </c>
      <c r="B10" s="2" t="inlineStr">
        <is>
          <t>c4-c01</t>
        </is>
      </c>
      <c r="C10" s="2" t="inlineStr">
        <is>
          <t>Is breakfast the most important meal of the day?</t>
        </is>
      </c>
      <c r="D10" s="2" t="inlineStr">
        <is>
          <t>Weight loss: A 2019 systematic review of randomized controlled trials found no evidence that eating breakfast automatically helps people lose weight or that skipping it causes weight gain.</t>
        </is>
      </c>
      <c r="E10" s="2" t="inlineStr">
        <is>
          <t>Long-term health: Studies have linked regularly skipping breakfast with higher cardiovascular risks, but these associations don't prove that skipping breakfast itself causes those problems.</t>
        </is>
      </c>
      <c r="F10" s="5" t="n"/>
      <c r="G10" s="5" t="n"/>
      <c r="H10" s="5" t="n"/>
    </row>
    <row r="11">
      <c r="A11" s="2" t="inlineStr">
        <is>
          <t>C01-10</t>
        </is>
      </c>
      <c r="B11" s="2" t="inlineStr">
        <is>
          <t>c4-c01</t>
        </is>
      </c>
      <c r="C11" s="2" t="inlineStr">
        <is>
          <t>Is breakfast the most important meal of the day?</t>
        </is>
      </c>
      <c r="D11" s="2" t="inlineStr">
        <is>
          <t>Long-term health: Studies have linked regularly skipping breakfast with higher cardiovascular risks, but these associations don't prove that skipping breakfast itself causes those problems.</t>
        </is>
      </c>
      <c r="E11" s="2" t="inlineStr">
        <is>
          <t>Other lifestyle factors may contribute.</t>
        </is>
      </c>
      <c r="F11" s="5" t="n"/>
      <c r="G11" s="5" t="n"/>
      <c r="H11" s="5" t="n"/>
    </row>
    <row r="12">
      <c r="A12" s="2" t="inlineStr">
        <is>
          <t>C01-11</t>
        </is>
      </c>
      <c r="B12" s="2" t="inlineStr">
        <is>
          <t>c4-c01</t>
        </is>
      </c>
      <c r="C12" s="2" t="inlineStr">
        <is>
          <t>Is breakfast the most important meal of the day?</t>
        </is>
      </c>
      <c r="D12" s="2" t="inlineStr">
        <is>
          <t>Other lifestyle factors may contribute.</t>
        </is>
      </c>
      <c r="E12" s="2" t="inlineStr">
        <is>
          <t>Children and teenagers: Regular breakfast consumption may support healthy growth and body composition.</t>
        </is>
      </c>
      <c r="F12" s="5" t="n"/>
      <c r="G12" s="5" t="n"/>
      <c r="H12" s="5" t="n"/>
    </row>
    <row r="13">
      <c r="A13" s="2" t="inlineStr">
        <is>
          <t>C01-12</t>
        </is>
      </c>
      <c r="B13" s="2" t="inlineStr">
        <is>
          <t>c4-c01</t>
        </is>
      </c>
      <c r="C13" s="2" t="inlineStr">
        <is>
          <t>Is breakfast the most important meal of the day?</t>
        </is>
      </c>
      <c r="D13" s="2" t="inlineStr">
        <is>
          <t>Children and teenagers: Regular breakfast consumption may support healthy growth and body composition.</t>
        </is>
      </c>
      <c r="E13" s="2" t="inlineStr">
        <is>
          <t>My practical advice is to eat breakfast if you're hungry in the morning, need energy for classes or work, or find that it helps you concentrate.</t>
        </is>
      </c>
      <c r="F13" s="5" t="n"/>
      <c r="G13" s="5" t="n"/>
      <c r="H13" s="5" t="n"/>
    </row>
    <row r="14">
      <c r="A14" s="2" t="inlineStr">
        <is>
          <t>C01-13</t>
        </is>
      </c>
      <c r="B14" s="2" t="inlineStr">
        <is>
          <t>c4-c01</t>
        </is>
      </c>
      <c r="C14" s="2" t="inlineStr">
        <is>
          <t>Is breakfast the most important meal of the day?</t>
        </is>
      </c>
      <c r="D14" s="2" t="inlineStr">
        <is>
          <t>My practical advice is to eat breakfast if you're hungry in the morning, need energy for classes or work, or find that it helps you concentrate.</t>
        </is>
      </c>
      <c r="E14" s="2" t="inlineStr">
        <is>
          <t>Choose foods that provide protein, fiber, and other nutrients.</t>
        </is>
      </c>
      <c r="F14" s="5" t="n"/>
      <c r="G14" s="5" t="n"/>
      <c r="H14" s="5" t="n"/>
    </row>
    <row r="15">
      <c r="A15" s="2" t="inlineStr">
        <is>
          <t>C01-14</t>
        </is>
      </c>
      <c r="B15" s="2" t="inlineStr">
        <is>
          <t>c4-c01</t>
        </is>
      </c>
      <c r="C15" s="2" t="inlineStr">
        <is>
          <t>Is breakfast the most important meal of the day?</t>
        </is>
      </c>
      <c r="D15" s="2" t="inlineStr">
        <is>
          <t>Choose foods that provide protein, fiber, and other nutrients.</t>
        </is>
      </c>
      <c r="E15" s="2" t="inlineStr">
        <is>
          <t>If you're not hungry early in the morning and eat balanced meals later, you don't necessarily need to force yourself to eat immediately after waking.</t>
        </is>
      </c>
      <c r="F15" s="5" t="n"/>
      <c r="G15" s="5" t="n"/>
      <c r="H15" s="5" t="n"/>
    </row>
    <row r="16">
      <c r="A16" s="2" t="inlineStr">
        <is>
          <t>C01-15</t>
        </is>
      </c>
      <c r="B16" s="2" t="inlineStr">
        <is>
          <t>c4-c01</t>
        </is>
      </c>
      <c r="C16" s="2" t="inlineStr">
        <is>
          <t>Is breakfast the most important meal of the day?</t>
        </is>
      </c>
      <c r="D16" s="2" t="inlineStr">
        <is>
          <t>If you're not hungry early in the morning and eat balanced meals later, you don't necessarily need to force yourself to eat immediately after waking.</t>
        </is>
      </c>
      <c r="E16" s="2" t="inlineStr">
        <is>
          <t>The bottom line: Breakfast can be valuable, but it isn't universally the most important meal.</t>
        </is>
      </c>
      <c r="F16" s="5" t="n"/>
      <c r="G16" s="5" t="n"/>
      <c r="H16" s="5" t="n"/>
    </row>
    <row r="17">
      <c r="A17" s="2" t="inlineStr">
        <is>
          <t>C01-16</t>
        </is>
      </c>
      <c r="B17" s="2" t="inlineStr">
        <is>
          <t>c4-c01</t>
        </is>
      </c>
      <c r="C17" s="2" t="inlineStr">
        <is>
          <t>Is breakfast the most important meal of the day?</t>
        </is>
      </c>
      <c r="D17" s="2" t="inlineStr">
        <is>
          <t>The bottom line: Breakfast can be valuable, but it isn't universally the most important meal.</t>
        </is>
      </c>
      <c r="E17" s="2" t="inlineStr">
        <is>
          <t>The quality of your overall diet and your eating habits matter more than the name or timing of any single meal.</t>
        </is>
      </c>
      <c r="F17" s="5" t="n"/>
      <c r="G17" s="5" t="n"/>
      <c r="H17" s="5" t="n"/>
    </row>
    <row r="18">
      <c r="A18" s="2" t="inlineStr">
        <is>
          <t>C02-01</t>
        </is>
      </c>
      <c r="B18" s="2" t="inlineStr">
        <is>
          <t>c4-c02</t>
        </is>
      </c>
      <c r="C18" s="2" t="inlineStr">
        <is>
          <t>Are millennials worse with money than previous generations?</t>
        </is>
      </c>
      <c r="D18" s="2" t="inlineStr"/>
      <c r="E18" s="2" t="inlineStr">
        <is>
          <t>Millennials aren't simply worse with money; they have faced a different set of financial challenges from previous generations.</t>
        </is>
      </c>
      <c r="F18" s="5" t="n"/>
      <c r="G18" s="5" t="n"/>
      <c r="H18" s="5" t="n"/>
    </row>
    <row r="19">
      <c r="A19" s="2" t="inlineStr">
        <is>
          <t>C02-02</t>
        </is>
      </c>
      <c r="B19" s="2" t="inlineStr">
        <is>
          <t>c4-c02</t>
        </is>
      </c>
      <c r="C19" s="2" t="inlineStr">
        <is>
          <t>Are millennials worse with money than previous generations?</t>
        </is>
      </c>
      <c r="D19" s="2" t="inlineStr">
        <is>
          <t>Millennials aren't simply worse with money; they have faced a different set of financial challenges from previous generations.</t>
        </is>
      </c>
      <c r="E19" s="2" t="inlineStr">
        <is>
          <t>To answer fairly, we need to distinguish financial habits—such as budgeting, saving, and spending—from financial outcomes, such as homeownership, debt, and retirement savings.</t>
        </is>
      </c>
      <c r="F19" s="5" t="n"/>
      <c r="G19" s="5" t="n"/>
      <c r="H19" s="5" t="n"/>
    </row>
    <row r="20">
      <c r="A20" s="2" t="inlineStr">
        <is>
          <t>C02-03</t>
        </is>
      </c>
      <c r="B20" s="2" t="inlineStr">
        <is>
          <t>c4-c02</t>
        </is>
      </c>
      <c r="C20" s="2" t="inlineStr">
        <is>
          <t>Are millennials worse with money than previous generations?</t>
        </is>
      </c>
      <c r="D20" s="2" t="inlineStr">
        <is>
          <t>To answer fairly, we need to distinguish financial habits—such as budgeting, saving, and spending—from financial outcomes, such as homeownership, debt, and retirement savings.</t>
        </is>
      </c>
      <c r="E20" s="2" t="inlineStr">
        <is>
          <t>Millennials are generally defined as people born between 1981 and 1996.</t>
        </is>
      </c>
      <c r="F20" s="5" t="n"/>
      <c r="G20" s="5" t="n"/>
      <c r="H20" s="5" t="n"/>
    </row>
    <row r="21">
      <c r="A21" s="2" t="inlineStr">
        <is>
          <t>C02-04</t>
        </is>
      </c>
      <c r="B21" s="2" t="inlineStr">
        <is>
          <t>c4-c02</t>
        </is>
      </c>
      <c r="C21" s="2" t="inlineStr">
        <is>
          <t>Are millennials worse with money than previous generations?</t>
        </is>
      </c>
      <c r="D21" s="2" t="inlineStr">
        <is>
          <t>Millennials are generally defined as people born between 1981 and 1996.</t>
        </is>
      </c>
      <c r="E21" s="2" t="inlineStr">
        <is>
          <t>In 2026, they're approximately 30–45 years old.</t>
        </is>
      </c>
      <c r="F21" s="5" t="n"/>
      <c r="G21" s="5" t="n"/>
      <c r="H21" s="5" t="n"/>
    </row>
    <row r="22">
      <c r="A22" s="2" t="inlineStr">
        <is>
          <t>C02-05</t>
        </is>
      </c>
      <c r="B22" s="2" t="inlineStr">
        <is>
          <t>c4-c02</t>
        </is>
      </c>
      <c r="C22" s="2" t="inlineStr">
        <is>
          <t>Are millennials worse with money than previous generations?</t>
        </is>
      </c>
      <c r="D22" s="2" t="inlineStr">
        <is>
          <t>In 2026, they're approximately 30–45 years old.</t>
        </is>
      </c>
      <c r="E22" s="2" t="inlineStr">
        <is>
          <t>Research from the Federal Reserve and the U.S. Government Accountability Office shows a mixed picture.</t>
        </is>
      </c>
      <c r="F22" s="5" t="n"/>
      <c r="G22" s="5" t="n"/>
      <c r="H22" s="5" t="n"/>
    </row>
    <row r="23">
      <c r="A23" s="2" t="inlineStr">
        <is>
          <t>C02-06</t>
        </is>
      </c>
      <c r="B23" s="2" t="inlineStr">
        <is>
          <t>c4-c02</t>
        </is>
      </c>
      <c r="C23" s="2" t="inlineStr">
        <is>
          <t>Are millennials worse with money than previous generations?</t>
        </is>
      </c>
      <c r="D23" s="2" t="inlineStr">
        <is>
          <t>Research from the Federal Reserve and the U.S. Government Accountability Office shows a mixed picture.</t>
        </is>
      </c>
      <c r="E23" s="2" t="inlineStr">
        <is>
          <t>Millennials generally carry more education-related debt than earlier generations did at similar ages.</t>
        </is>
      </c>
      <c r="F23" s="5" t="n"/>
      <c r="G23" s="5" t="n"/>
      <c r="H23" s="5" t="n"/>
    </row>
    <row r="24">
      <c r="A24" s="2" t="inlineStr">
        <is>
          <t>C02-07</t>
        </is>
      </c>
      <c r="B24" s="2" t="inlineStr">
        <is>
          <t>c4-c02</t>
        </is>
      </c>
      <c r="C24" s="2" t="inlineStr">
        <is>
          <t>Are millennials worse with money than previous generations?</t>
        </is>
      </c>
      <c r="D24" s="2" t="inlineStr">
        <is>
          <t>Millennials generally carry more education-related debt than earlier generations did at similar ages.</t>
        </is>
      </c>
      <c r="E24" s="2" t="inlineStr">
        <is>
          <t>This can delay saving, buying a home, or investing.</t>
        </is>
      </c>
      <c r="F24" s="5" t="n"/>
      <c r="G24" s="5" t="n"/>
      <c r="H24" s="5" t="n"/>
    </row>
    <row r="25">
      <c r="A25" s="2" t="inlineStr">
        <is>
          <t>C02-08</t>
        </is>
      </c>
      <c r="B25" s="2" t="inlineStr">
        <is>
          <t>c4-c02</t>
        </is>
      </c>
      <c r="C25" s="2" t="inlineStr">
        <is>
          <t>Are millennials worse with money than previous generations?</t>
        </is>
      </c>
      <c r="D25" s="2" t="inlineStr">
        <is>
          <t>This can delay saving, buying a home, or investing.</t>
        </is>
      </c>
      <c r="E25" s="2" t="inlineStr">
        <is>
          <t>Millennials were less likely to own homes than previous generations at comparable ages, making it harder for many to build wealth through property.</t>
        </is>
      </c>
      <c r="F25" s="5" t="n"/>
      <c r="G25" s="5" t="n"/>
      <c r="H25" s="5" t="n"/>
    </row>
    <row r="26">
      <c r="A26" s="2" t="inlineStr">
        <is>
          <t>C02-09</t>
        </is>
      </c>
      <c r="B26" s="2" t="inlineStr">
        <is>
          <t>c4-c02</t>
        </is>
      </c>
      <c r="C26" s="2" t="inlineStr">
        <is>
          <t>Are millennials worse with money than previous generations?</t>
        </is>
      </c>
      <c r="D26" s="2" t="inlineStr">
        <is>
          <t>Millennials were less likely to own homes than previous generations at comparable ages, making it harder for many to build wealth through property.</t>
        </is>
      </c>
      <c r="E26" s="2" t="inlineStr">
        <is>
          <t>Federal Reserve researchers found that millennials' consumption preferences were not significantly different from those of earlier generations.</t>
        </is>
      </c>
      <c r="F26" s="5" t="n"/>
      <c r="G26" s="5" t="n"/>
      <c r="H26" s="5" t="n"/>
    </row>
    <row r="27">
      <c r="A27" s="2" t="inlineStr">
        <is>
          <t>C02-10</t>
        </is>
      </c>
      <c r="B27" s="2" t="inlineStr">
        <is>
          <t>c4-c02</t>
        </is>
      </c>
      <c r="C27" s="2" t="inlineStr">
        <is>
          <t>Are millennials worse with money than previous generations?</t>
        </is>
      </c>
      <c r="D27" s="2" t="inlineStr">
        <is>
          <t>Federal Reserve researchers found that millennials' consumption preferences were not significantly different from those of earlier generations.</t>
        </is>
      </c>
      <c r="E27" s="2" t="inlineStr">
        <is>
          <t>That weakens the argument that the generation is financially worse off simply because of irresponsible spending habits.</t>
        </is>
      </c>
      <c r="F27" s="5" t="n"/>
      <c r="G27" s="5" t="n"/>
      <c r="H27" s="5" t="n"/>
    </row>
    <row r="28">
      <c r="A28" s="2" t="inlineStr">
        <is>
          <t>C02-11</t>
        </is>
      </c>
      <c r="B28" s="2" t="inlineStr">
        <is>
          <t>c4-c02</t>
        </is>
      </c>
      <c r="C28" s="2" t="inlineStr">
        <is>
          <t>Are millennials worse with money than previous generations?</t>
        </is>
      </c>
      <c r="D28" s="2" t="inlineStr">
        <is>
          <t>That weakens the argument that the generation is financially worse off simply because of irresponsible spending habits.</t>
        </is>
      </c>
      <c r="E28" s="2" t="inlineStr">
        <is>
          <t>Imagine two people who are both 30 years old.</t>
        </is>
      </c>
      <c r="F28" s="5" t="n"/>
      <c r="G28" s="5" t="n"/>
      <c r="H28" s="5" t="n"/>
    </row>
    <row r="29">
      <c r="A29" s="2" t="inlineStr">
        <is>
          <t>C02-12</t>
        </is>
      </c>
      <c r="B29" s="2" t="inlineStr">
        <is>
          <t>c4-c02</t>
        </is>
      </c>
      <c r="C29" s="2" t="inlineStr">
        <is>
          <t>Are millennials worse with money than previous generations?</t>
        </is>
      </c>
      <c r="D29" s="2" t="inlineStr">
        <is>
          <t>Imagine two people who are both 30 years old.</t>
        </is>
      </c>
      <c r="E29" s="2" t="inlineStr">
        <is>
          <t>- Person A, from an earlier generation: Has a modest student loan, buys a house at a relatively affordable price, and gradually builds equity.</t>
        </is>
      </c>
      <c r="F29" s="5" t="n"/>
      <c r="G29" s="5" t="n"/>
      <c r="H29" s="5" t="n"/>
    </row>
    <row r="30">
      <c r="A30" s="2" t="inlineStr">
        <is>
          <t>C02-13</t>
        </is>
      </c>
      <c r="B30" s="2" t="inlineStr">
        <is>
          <t>c4-c02</t>
        </is>
      </c>
      <c r="C30" s="2" t="inlineStr">
        <is>
          <t>Are millennials worse with money than previous generations?</t>
        </is>
      </c>
      <c r="D30" s="2" t="inlineStr">
        <is>
          <t>- Person A, from an earlier generation: Has a modest student loan, buys a house at a relatively affordable price, and gradually builds equity.</t>
        </is>
      </c>
      <c r="E30" s="2" t="inlineStr">
        <is>
          <t>- Person B, a millennial: Has a larger student loan, faces higher housing costs relative to income, and spends several more years renting.</t>
        </is>
      </c>
      <c r="F30" s="5" t="n"/>
      <c r="G30" s="5" t="n"/>
      <c r="H30" s="5" t="n"/>
    </row>
    <row r="31">
      <c r="A31" s="2" t="inlineStr">
        <is>
          <t>C02-14</t>
        </is>
      </c>
      <c r="B31" s="2" t="inlineStr">
        <is>
          <t>c4-c02</t>
        </is>
      </c>
      <c r="C31" s="2" t="inlineStr">
        <is>
          <t>Are millennials worse with money than previous generations?</t>
        </is>
      </c>
      <c r="D31" s="2" t="inlineStr">
        <is>
          <t>- Person B, a millennial: Has a larger student loan, faces higher housing costs relative to income, and spends several more years renting.</t>
        </is>
      </c>
      <c r="E31" s="2" t="inlineStr">
        <is>
          <t>Even if both people budget carefully, Person B may accumulate wealth more slowly.</t>
        </is>
      </c>
      <c r="F31" s="5" t="n"/>
      <c r="G31" s="5" t="n"/>
      <c r="H31" s="5" t="n"/>
    </row>
    <row r="32">
      <c r="A32" s="2" t="inlineStr">
        <is>
          <t>C02-15</t>
        </is>
      </c>
      <c r="B32" s="2" t="inlineStr">
        <is>
          <t>c4-c02</t>
        </is>
      </c>
      <c r="C32" s="2" t="inlineStr">
        <is>
          <t>Are millennials worse with money than previous generations?</t>
        </is>
      </c>
      <c r="D32" s="2" t="inlineStr">
        <is>
          <t>Even if both people budget carefully, Person B may accumulate wealth more slowly.</t>
        </is>
      </c>
      <c r="E32" s="2" t="inlineStr">
        <is>
          <t>The difference isn't necessarily financial discipline; it may be the economic circumstances they face.</t>
        </is>
      </c>
      <c r="F32" s="5" t="n"/>
      <c r="G32" s="5" t="n"/>
      <c r="H32" s="5" t="n"/>
    </row>
    <row r="33">
      <c r="A33" s="2" t="inlineStr">
        <is>
          <t>C02-16</t>
        </is>
      </c>
      <c r="B33" s="2" t="inlineStr">
        <is>
          <t>c4-c02</t>
        </is>
      </c>
      <c r="C33" s="2" t="inlineStr">
        <is>
          <t>Are millennials worse with money than previous generations?</t>
        </is>
      </c>
      <c r="D33" s="2" t="inlineStr">
        <is>
          <t>The difference isn't necessarily financial discipline; it may be the economic circumstances they face.</t>
        </is>
      </c>
      <c r="E33" s="2" t="inlineStr">
        <is>
          <t>The Great Recession of 2007–2009 also affected millennials as many were entering the workforce, limiting employment opportunities and wealth accumulation early in their careers.</t>
        </is>
      </c>
      <c r="F33" s="5" t="n"/>
      <c r="G33" s="5" t="n"/>
      <c r="H33" s="5" t="n"/>
    </row>
    <row r="34">
      <c r="A34" s="2" t="inlineStr">
        <is>
          <t>C02-17</t>
        </is>
      </c>
      <c r="B34" s="2" t="inlineStr">
        <is>
          <t>c4-c02</t>
        </is>
      </c>
      <c r="C34" s="2" t="inlineStr">
        <is>
          <t>Are millennials worse with money than previous generations?</t>
        </is>
      </c>
      <c r="D34" s="2" t="inlineStr">
        <is>
          <t>The Great Recession of 2007–2009 also affected millennials as many were entering the workforce, limiting employment opportunities and wealth accumulation early in their careers.</t>
        </is>
      </c>
      <c r="E34" s="2" t="inlineStr">
        <is>
          <t>The picture isn't entirely negative.</t>
        </is>
      </c>
      <c r="F34" s="5" t="n"/>
      <c r="G34" s="5" t="n"/>
      <c r="H34" s="5" t="n"/>
    </row>
    <row r="35">
      <c r="A35" s="2" t="inlineStr">
        <is>
          <t>C02-18</t>
        </is>
      </c>
      <c r="B35" s="2" t="inlineStr">
        <is>
          <t>c4-c02</t>
        </is>
      </c>
      <c r="C35" s="2" t="inlineStr">
        <is>
          <t>Are millennials worse with money than previous generations?</t>
        </is>
      </c>
      <c r="D35" s="2" t="inlineStr">
        <is>
          <t>The picture isn't entirely negative.</t>
        </is>
      </c>
      <c r="E35" s="2" t="inlineStr">
        <is>
          <t>Research from the Federal Reserve Bank of St. Louis found that millennials at age 30 had, on average, more retirement-account wealth than baby boomers had at the same age.</t>
        </is>
      </c>
      <c r="F35" s="5" t="n"/>
      <c r="G35" s="5" t="n"/>
      <c r="H35" s="5" t="n"/>
    </row>
    <row r="36">
      <c r="A36" s="2" t="inlineStr">
        <is>
          <t>C02-19</t>
        </is>
      </c>
      <c r="B36" s="2" t="inlineStr">
        <is>
          <t>c4-c02</t>
        </is>
      </c>
      <c r="C36" s="2" t="inlineStr">
        <is>
          <t>Are millennials worse with money than previous generations?</t>
        </is>
      </c>
      <c r="D36" s="2" t="inlineStr">
        <is>
          <t>Research from the Federal Reserve Bank of St. Louis found that millennials at age 30 had, on average, more retirement-account wealth than baby boomers had at the same age.</t>
        </is>
      </c>
      <c r="E36" s="2" t="inlineStr">
        <is>
          <t>More recent Federal Reserve analysis has also found that younger generations' average wealth can compare favorably with that of earlier generations at similar ages, depending on the period and measure used.</t>
        </is>
      </c>
      <c r="F36" s="5" t="n"/>
      <c r="G36" s="5" t="n"/>
      <c r="H36" s="5" t="n"/>
    </row>
    <row r="37">
      <c r="A37" s="2" t="inlineStr">
        <is>
          <t>C02-20</t>
        </is>
      </c>
      <c r="B37" s="2" t="inlineStr">
        <is>
          <t>c4-c02</t>
        </is>
      </c>
      <c r="C37" s="2" t="inlineStr">
        <is>
          <t>Are millennials worse with money than previous generations?</t>
        </is>
      </c>
      <c r="D37" s="2" t="inlineStr">
        <is>
          <t>More recent Federal Reserve analysis has also found that younger generations' average wealth can compare favorably with that of earlier generations at similar ages, depending on the period and measure used.</t>
        </is>
      </c>
      <c r="E37" s="2" t="inlineStr">
        <is>
          <t>That doesn't mean every millennial is financially secure.</t>
        </is>
      </c>
      <c r="F37" s="5" t="n"/>
      <c r="G37" s="5" t="n"/>
      <c r="H37" s="5" t="n"/>
    </row>
    <row r="38">
      <c r="A38" s="2" t="inlineStr">
        <is>
          <t>C02-21</t>
        </is>
      </c>
      <c r="B38" s="2" t="inlineStr">
        <is>
          <t>c4-c02</t>
        </is>
      </c>
      <c r="C38" s="2" t="inlineStr">
        <is>
          <t>Are millennials worse with money than previous generations?</t>
        </is>
      </c>
      <c r="D38" s="2" t="inlineStr">
        <is>
          <t>That doesn't mean every millennial is financially secure.</t>
        </is>
      </c>
      <c r="E38" s="2" t="inlineStr">
        <is>
          <t>Wealth is distributed unevenly, and averages can be pulled upward by high-wealth households.</t>
        </is>
      </c>
      <c r="F38" s="5" t="n"/>
      <c r="G38" s="5" t="n"/>
      <c r="H38" s="5" t="n"/>
    </row>
    <row r="39">
      <c r="A39" s="2" t="inlineStr">
        <is>
          <t>C02-22</t>
        </is>
      </c>
      <c r="B39" s="2" t="inlineStr">
        <is>
          <t>c4-c02</t>
        </is>
      </c>
      <c r="C39" s="2" t="inlineStr">
        <is>
          <t>Are millennials worse with money than previous generations?</t>
        </is>
      </c>
      <c r="D39" s="2" t="inlineStr">
        <is>
          <t>Wealth is distributed unevenly, and averages can be pulled upward by high-wealth households.</t>
        </is>
      </c>
      <c r="E39" s="2" t="inlineStr">
        <is>
          <t>The evidence does not establish that millennials are worse with money.</t>
        </is>
      </c>
      <c r="F39" s="5" t="n"/>
      <c r="G39" s="5" t="n"/>
      <c r="H39" s="5" t="n"/>
    </row>
    <row r="40">
      <c r="A40" s="2" t="inlineStr">
        <is>
          <t>C02-23</t>
        </is>
      </c>
      <c r="B40" s="2" t="inlineStr">
        <is>
          <t>c4-c02</t>
        </is>
      </c>
      <c r="C40" s="2" t="inlineStr">
        <is>
          <t>Are millennials worse with money than previous generations?</t>
        </is>
      </c>
      <c r="D40" s="2" t="inlineStr">
        <is>
          <t>The evidence does not establish that millennials are worse with money.</t>
        </is>
      </c>
      <c r="E40" s="2" t="inlineStr">
        <is>
          <t>It shows that many have faced greater challenges with student debt and homeownership, while their financial habits and wealth-building outcomes vary considerably.</t>
        </is>
      </c>
      <c r="F40" s="5" t="n"/>
      <c r="G40" s="5" t="n"/>
      <c r="H40" s="5" t="n"/>
    </row>
    <row r="41">
      <c r="A41" s="2" t="inlineStr">
        <is>
          <t>C02-24</t>
        </is>
      </c>
      <c r="B41" s="2" t="inlineStr">
        <is>
          <t>c4-c02</t>
        </is>
      </c>
      <c r="C41" s="2" t="inlineStr">
        <is>
          <t>Are millennials worse with money than previous generations?</t>
        </is>
      </c>
      <c r="D41" s="2" t="inlineStr">
        <is>
          <t>It shows that many have faced greater challenges with student debt and homeownership, while their financial habits and wealth-building outcomes vary considerably.</t>
        </is>
      </c>
      <c r="E41" s="2" t="inlineStr">
        <is>
          <t>To determine whether one generation is actually better at managing money, we'd need to compare things like saving rates, spending relative to income, debt repayment, investment behavior, and financial literacy—not simply how wealthy each generation is.</t>
        </is>
      </c>
      <c r="F41" s="5" t="n"/>
      <c r="G41" s="5" t="n"/>
      <c r="H41" s="5" t="n"/>
    </row>
    <row r="42">
      <c r="A42" s="2" t="inlineStr">
        <is>
          <t>C02-25</t>
        </is>
      </c>
      <c r="B42" s="2" t="inlineStr">
        <is>
          <t>c4-c02</t>
        </is>
      </c>
      <c r="C42" s="2" t="inlineStr">
        <is>
          <t>Are millennials worse with money than previous generations?</t>
        </is>
      </c>
      <c r="D42" s="2" t="inlineStr">
        <is>
          <t>To determine whether one generation is actually better at managing money, we'd need to compare things like saving rates, spending relative to income, debt repayment, investment behavior, and financial literacy—not simply how wealthy each generation is.</t>
        </is>
      </c>
      <c r="E42" s="2" t="inlineStr">
        <is>
          <t>The available evidence suggests that economic conditions are an important part of the explanation.</t>
        </is>
      </c>
      <c r="F42" s="5" t="n"/>
      <c r="G42" s="5" t="n"/>
      <c r="H42" s="5" t="n"/>
    </row>
    <row r="43">
      <c r="A43" s="2" t="inlineStr">
        <is>
          <t>C03-01</t>
        </is>
      </c>
      <c r="B43" s="2" t="inlineStr">
        <is>
          <t>c4-c03</t>
        </is>
      </c>
      <c r="C43" s="2" t="inlineStr">
        <is>
          <t>Does money buy happiness?</t>
        </is>
      </c>
      <c r="D43" s="2" t="inlineStr"/>
      <c r="E43" s="2" t="inlineStr">
        <is>
          <t>Yes, to a certain extent.</t>
        </is>
      </c>
      <c r="F43" s="5" t="n"/>
      <c r="G43" s="5" t="n"/>
      <c r="H43" s="5" t="n"/>
    </row>
    <row r="44">
      <c r="A44" s="2" t="inlineStr">
        <is>
          <t>C03-02</t>
        </is>
      </c>
      <c r="B44" s="2" t="inlineStr">
        <is>
          <t>c4-c03</t>
        </is>
      </c>
      <c r="C44" s="2" t="inlineStr">
        <is>
          <t>Does money buy happiness?</t>
        </is>
      </c>
      <c r="D44" s="2" t="inlineStr">
        <is>
          <t>Yes, to a certain extent.</t>
        </is>
      </c>
      <c r="E44" s="2" t="inlineStr">
        <is>
          <t>Research suggests that money can improve happiness by reducing financial stress, providing security, and giving people more choices.</t>
        </is>
      </c>
      <c r="F44" s="5" t="n"/>
      <c r="G44" s="5" t="n"/>
      <c r="H44" s="5" t="n"/>
    </row>
    <row r="45">
      <c r="A45" s="2" t="inlineStr">
        <is>
          <t>C03-03</t>
        </is>
      </c>
      <c r="B45" s="2" t="inlineStr">
        <is>
          <t>c4-c03</t>
        </is>
      </c>
      <c r="C45" s="2" t="inlineStr">
        <is>
          <t>Does money buy happiness?</t>
        </is>
      </c>
      <c r="D45" s="2" t="inlineStr">
        <is>
          <t>Research suggests that money can improve happiness by reducing financial stress, providing security, and giving people more choices.</t>
        </is>
      </c>
      <c r="E45" s="2" t="inlineStr">
        <is>
          <t>However, money alone does not guarantee a happy or fulfilling life.</t>
        </is>
      </c>
      <c r="F45" s="5" t="n"/>
      <c r="G45" s="5" t="n"/>
      <c r="H45" s="5" t="n"/>
    </row>
    <row r="46">
      <c r="A46" s="2" t="inlineStr">
        <is>
          <t>C03-04</t>
        </is>
      </c>
      <c r="B46" s="2" t="inlineStr">
        <is>
          <t>c4-c03</t>
        </is>
      </c>
      <c r="C46" s="2" t="inlineStr">
        <is>
          <t>Does money buy happiness?</t>
        </is>
      </c>
      <c r="D46" s="2" t="inlineStr">
        <is>
          <t>However, money alone does not guarantee a happy or fulfilling life.</t>
        </is>
      </c>
      <c r="E46" s="2" t="inlineStr">
        <is>
          <t>A 2023 study published in Proceedings of the National Academy of Sciences by researchers Matthew Killingsworth, Daniel Kahneman, and Barbara Mellers found that, for most people studied in the United States, higher incomes were associated with greater emotional well-being.</t>
        </is>
      </c>
      <c r="F46" s="5" t="n"/>
      <c r="G46" s="5" t="n"/>
      <c r="H46" s="5" t="n"/>
    </row>
    <row r="47">
      <c r="A47" s="2" t="inlineStr">
        <is>
          <t>C03-05</t>
        </is>
      </c>
      <c r="B47" s="2" t="inlineStr">
        <is>
          <t>c4-c03</t>
        </is>
      </c>
      <c r="C47" s="2" t="inlineStr">
        <is>
          <t>Does money buy happiness?</t>
        </is>
      </c>
      <c r="D47" s="2" t="inlineStr">
        <is>
          <t>A 2023 study published in Proceedings of the National Academy of Sciences by researchers Matthew Killingsworth, Daniel Kahneman, and Barbara Mellers found that, for most people studied in the United States, higher incomes were associated with greater emotional well-being.</t>
        </is>
      </c>
      <c r="E47" s="2" t="inlineStr">
        <is>
          <t>The relationship differed for people who were already very unhappy.</t>
        </is>
      </c>
      <c r="F47" s="5" t="n"/>
      <c r="G47" s="5" t="n"/>
      <c r="H47" s="5" t="n"/>
    </row>
    <row r="48">
      <c r="A48" s="2" t="inlineStr">
        <is>
          <t>C03-06</t>
        </is>
      </c>
      <c r="B48" s="2" t="inlineStr">
        <is>
          <t>c4-c03</t>
        </is>
      </c>
      <c r="C48" s="2" t="inlineStr">
        <is>
          <t>Does money buy happiness?</t>
        </is>
      </c>
      <c r="D48" s="2" t="inlineStr">
        <is>
          <t>The relationship differed for people who were already very unhappy.</t>
        </is>
      </c>
      <c r="E48" s="2" t="inlineStr">
        <is>
          <t>Having enough money to pay rent, buy food, access healthcare, and handle emergencies can reduce anxiety and uncertainty.</t>
        </is>
      </c>
      <c r="F48" s="5" t="n"/>
      <c r="G48" s="5" t="n"/>
      <c r="H48" s="5" t="n"/>
    </row>
    <row r="49">
      <c r="A49" s="2" t="inlineStr">
        <is>
          <t>C03-07</t>
        </is>
      </c>
      <c r="B49" s="2" t="inlineStr">
        <is>
          <t>c4-c03</t>
        </is>
      </c>
      <c r="C49" s="2" t="inlineStr">
        <is>
          <t>Does money buy happiness?</t>
        </is>
      </c>
      <c r="D49" s="2" t="inlineStr">
        <is>
          <t>Having enough money to pay rent, buy food, access healthcare, and handle emergencies can reduce anxiety and uncertainty.</t>
        </is>
      </c>
      <c r="E49" s="2" t="inlineStr">
        <is>
          <t>Money is especially valuable when it helps people escape poverty or financial instability.</t>
        </is>
      </c>
      <c r="F49" s="5" t="n"/>
      <c r="G49" s="5" t="n"/>
      <c r="H49" s="5" t="n"/>
    </row>
    <row r="50">
      <c r="A50" s="2" t="inlineStr">
        <is>
          <t>C03-08</t>
        </is>
      </c>
      <c r="B50" s="2" t="inlineStr">
        <is>
          <t>c4-c03</t>
        </is>
      </c>
      <c r="C50" s="2" t="inlineStr">
        <is>
          <t>Does money buy happiness?</t>
        </is>
      </c>
      <c r="D50" s="2" t="inlineStr">
        <is>
          <t>Money is especially valuable when it helps people escape poverty or financial instability.</t>
        </is>
      </c>
      <c r="E50" s="2" t="inlineStr">
        <is>
          <t>Money can help people travel, spend time with friends, visit family, and participate in activities they enjoy.</t>
        </is>
      </c>
      <c r="F50" s="5" t="n"/>
      <c r="G50" s="5" t="n"/>
      <c r="H50" s="5" t="n"/>
    </row>
    <row r="51">
      <c r="A51" s="2" t="inlineStr">
        <is>
          <t>C03-09</t>
        </is>
      </c>
      <c r="B51" s="2" t="inlineStr">
        <is>
          <t>c4-c03</t>
        </is>
      </c>
      <c r="C51" s="2" t="inlineStr">
        <is>
          <t>Does money buy happiness?</t>
        </is>
      </c>
      <c r="D51" s="2" t="inlineStr">
        <is>
          <t>Money can help people travel, spend time with friends, visit family, and participate in activities they enjoy.</t>
        </is>
      </c>
      <c r="E51" s="2" t="inlineStr">
        <is>
          <t>Research also suggests that spending money to save time can improve well-being.</t>
        </is>
      </c>
      <c r="F51" s="5" t="n"/>
      <c r="G51" s="5" t="n"/>
      <c r="H51" s="5" t="n"/>
    </row>
    <row r="52">
      <c r="A52" s="2" t="inlineStr">
        <is>
          <t>C03-10</t>
        </is>
      </c>
      <c r="B52" s="2" t="inlineStr">
        <is>
          <t>c4-c03</t>
        </is>
      </c>
      <c r="C52" s="2" t="inlineStr">
        <is>
          <t>Does money buy happiness?</t>
        </is>
      </c>
      <c r="D52" s="2" t="inlineStr">
        <is>
          <t>Research also suggests that spending money to save time can improve well-being.</t>
        </is>
      </c>
      <c r="E52" s="2" t="inlineStr">
        <is>
          <t>Savings can give people more freedom to leave an unhealthy work environment, pursue education, or take a break without worrying immediately about their next paycheck.</t>
        </is>
      </c>
      <c r="F52" s="5" t="n"/>
      <c r="G52" s="5" t="n"/>
      <c r="H52" s="5" t="n"/>
    </row>
    <row r="53">
      <c r="A53" s="2" t="inlineStr">
        <is>
          <t>C03-11</t>
        </is>
      </c>
      <c r="B53" s="2" t="inlineStr">
        <is>
          <t>c4-c03</t>
        </is>
      </c>
      <c r="C53" s="2" t="inlineStr">
        <is>
          <t>Does money buy happiness?</t>
        </is>
      </c>
      <c r="D53" s="2" t="inlineStr">
        <is>
          <t>Savings can give people more freedom to leave an unhealthy work environment, pursue education, or take a break without worrying immediately about their next paycheck.</t>
        </is>
      </c>
      <c r="E53" s="2" t="inlineStr">
        <is>
          <t>- People adapt.</t>
        </is>
      </c>
      <c r="F53" s="5" t="n"/>
      <c r="G53" s="5" t="n"/>
      <c r="H53" s="5" t="n"/>
    </row>
    <row r="54">
      <c r="A54" s="2" t="inlineStr">
        <is>
          <t>C03-12</t>
        </is>
      </c>
      <c r="B54" s="2" t="inlineStr">
        <is>
          <t>c4-c03</t>
        </is>
      </c>
      <c r="C54" s="2" t="inlineStr">
        <is>
          <t>Does money buy happiness?</t>
        </is>
      </c>
      <c r="D54" s="2" t="inlineStr">
        <is>
          <t>- People adapt.</t>
        </is>
      </c>
      <c r="E54" s="2" t="inlineStr">
        <is>
          <t>A salary increase or a new purchase may initially bring excitement, but that excitement can fade as the new circumstances become normal.</t>
        </is>
      </c>
      <c r="F54" s="5" t="n"/>
      <c r="G54" s="5" t="n"/>
      <c r="H54" s="5" t="n"/>
    </row>
    <row r="55">
      <c r="A55" s="2" t="inlineStr">
        <is>
          <t>C03-13</t>
        </is>
      </c>
      <c r="B55" s="2" t="inlineStr">
        <is>
          <t>c4-c03</t>
        </is>
      </c>
      <c r="C55" s="2" t="inlineStr">
        <is>
          <t>Does money buy happiness?</t>
        </is>
      </c>
      <c r="D55" s="2" t="inlineStr">
        <is>
          <t>A salary increase or a new purchase may initially bring excitement, but that excitement can fade as the new circumstances become normal.</t>
        </is>
      </c>
      <c r="E55" s="2" t="inlineStr">
        <is>
          <t>- Relationships matter.</t>
        </is>
      </c>
      <c r="F55" s="5" t="n"/>
      <c r="G55" s="5" t="n"/>
      <c r="H55" s="5" t="n"/>
    </row>
    <row r="56">
      <c r="A56" s="2" t="inlineStr">
        <is>
          <t>C03-14</t>
        </is>
      </c>
      <c r="B56" s="2" t="inlineStr">
        <is>
          <t>c4-c03</t>
        </is>
      </c>
      <c r="C56" s="2" t="inlineStr">
        <is>
          <t>Does money buy happiness?</t>
        </is>
      </c>
      <c r="D56" s="2" t="inlineStr">
        <is>
          <t>- Relationships matter.</t>
        </is>
      </c>
      <c r="E56" s="2" t="inlineStr">
        <is>
          <t>Wealth cannot automatically create trust, love, friendship, or a sense of belonging.</t>
        </is>
      </c>
      <c r="F56" s="5" t="n"/>
      <c r="G56" s="5" t="n"/>
      <c r="H56" s="5" t="n"/>
    </row>
    <row r="57">
      <c r="A57" s="2" t="inlineStr">
        <is>
          <t>C03-15</t>
        </is>
      </c>
      <c r="B57" s="2" t="inlineStr">
        <is>
          <t>c4-c03</t>
        </is>
      </c>
      <c r="C57" s="2" t="inlineStr">
        <is>
          <t>Does money buy happiness?</t>
        </is>
      </c>
      <c r="D57" s="2" t="inlineStr">
        <is>
          <t>Wealth cannot automatically create trust, love, friendship, or a sense of belonging.</t>
        </is>
      </c>
      <c r="E57" s="2" t="inlineStr">
        <is>
          <t>- Comparison can create dissatisfaction.</t>
        </is>
      </c>
      <c r="F57" s="5" t="n"/>
      <c r="G57" s="5" t="n"/>
      <c r="H57" s="5" t="n"/>
    </row>
    <row r="58">
      <c r="A58" s="2" t="inlineStr">
        <is>
          <t>C03-16</t>
        </is>
      </c>
      <c r="B58" s="2" t="inlineStr">
        <is>
          <t>c4-c03</t>
        </is>
      </c>
      <c r="C58" s="2" t="inlineStr">
        <is>
          <t>Does money buy happiness?</t>
        </is>
      </c>
      <c r="D58" s="2" t="inlineStr">
        <is>
          <t>- Comparison can create dissatisfaction.</t>
        </is>
      </c>
      <c r="E58" s="2" t="inlineStr">
        <is>
          <t>Someone earning $100,000 may feel financially unsuccessful when comparing themselves with people earning $300,000.</t>
        </is>
      </c>
      <c r="F58" s="5" t="n"/>
      <c r="G58" s="5" t="n"/>
      <c r="H58" s="5" t="n"/>
    </row>
    <row r="59">
      <c r="A59" s="2" t="inlineStr">
        <is>
          <t>C03-17</t>
        </is>
      </c>
      <c r="B59" s="2" t="inlineStr">
        <is>
          <t>c4-c03</t>
        </is>
      </c>
      <c r="C59" s="2" t="inlineStr">
        <is>
          <t>Does money buy happiness?</t>
        </is>
      </c>
      <c r="D59" s="2" t="inlineStr">
        <is>
          <t>Someone earning $100,000 may feel financially unsuccessful when comparing themselves with people earning $300,000.</t>
        </is>
      </c>
      <c r="E59" s="2" t="inlineStr">
        <is>
          <t>- Money can come with trade-offs.</t>
        </is>
      </c>
      <c r="F59" s="5" t="n"/>
      <c r="G59" s="5" t="n"/>
      <c r="H59" s="5" t="n"/>
    </row>
    <row r="60">
      <c r="A60" s="2" t="inlineStr">
        <is>
          <t>C03-18</t>
        </is>
      </c>
      <c r="B60" s="2" t="inlineStr">
        <is>
          <t>c4-c03</t>
        </is>
      </c>
      <c r="C60" s="2" t="inlineStr">
        <is>
          <t>Does money buy happiness?</t>
        </is>
      </c>
      <c r="D60" s="2" t="inlineStr">
        <is>
          <t>- Money can come with trade-offs.</t>
        </is>
      </c>
      <c r="E60" s="2" t="inlineStr">
        <is>
          <t>A higher-paying job may demand longer hours, more stress, or less time with loved ones.</t>
        </is>
      </c>
      <c r="F60" s="5" t="n"/>
      <c r="G60" s="5" t="n"/>
      <c r="H60" s="5" t="n"/>
    </row>
    <row r="61">
      <c r="A61" s="2" t="inlineStr">
        <is>
          <t>C03-19</t>
        </is>
      </c>
      <c r="B61" s="2" t="inlineStr">
        <is>
          <t>c4-c03</t>
        </is>
      </c>
      <c r="C61" s="2" t="inlineStr">
        <is>
          <t>Does money buy happiness?</t>
        </is>
      </c>
      <c r="D61" s="2" t="inlineStr">
        <is>
          <t>A higher-paying job may demand longer hours, more stress, or less time with loved ones.</t>
        </is>
      </c>
      <c r="E61" s="2" t="inlineStr">
        <is>
          <t>Research distinguishes between feeling good in everyday life and being satisfied with your life overall.</t>
        </is>
      </c>
      <c r="F61" s="5" t="n"/>
      <c r="G61" s="5" t="n"/>
      <c r="H61" s="5" t="n"/>
    </row>
    <row r="62">
      <c r="A62" s="2" t="inlineStr">
        <is>
          <t>C03-20</t>
        </is>
      </c>
      <c r="B62" s="2" t="inlineStr">
        <is>
          <t>c4-c03</t>
        </is>
      </c>
      <c r="C62" s="2" t="inlineStr">
        <is>
          <t>Does money buy happiness?</t>
        </is>
      </c>
      <c r="D62" s="2" t="inlineStr">
        <is>
          <t>Research distinguishes between feeling good in everyday life and being satisfied with your life overall.</t>
        </is>
      </c>
      <c r="E62" s="2" t="inlineStr">
        <is>
          <t>Income can influence both, but it is only one of several factors that contribute to well-being.</t>
        </is>
      </c>
      <c r="F62" s="5" t="n"/>
      <c r="G62" s="5" t="n"/>
      <c r="H62" s="5" t="n"/>
    </row>
    <row r="63">
      <c r="A63" s="2" t="inlineStr">
        <is>
          <t>C03-21</t>
        </is>
      </c>
      <c r="B63" s="2" t="inlineStr">
        <is>
          <t>c4-c03</t>
        </is>
      </c>
      <c r="C63" s="2" t="inlineStr">
        <is>
          <t>Does money buy happiness?</t>
        </is>
      </c>
      <c r="D63" s="2" t="inlineStr">
        <is>
          <t>Income can influence both, but it is only one of several factors that contribute to well-being.</t>
        </is>
      </c>
      <c r="E63" s="2" t="inlineStr">
        <is>
          <t>Not necessarily, but there is no universal income level at which money stops mattering.</t>
        </is>
      </c>
      <c r="F63" s="5" t="n"/>
      <c r="G63" s="5" t="n"/>
      <c r="H63" s="5" t="n"/>
    </row>
    <row r="64">
      <c r="A64" s="2" t="inlineStr">
        <is>
          <t>C03-22</t>
        </is>
      </c>
      <c r="B64" s="2" t="inlineStr">
        <is>
          <t>c4-c03</t>
        </is>
      </c>
      <c r="C64" s="2" t="inlineStr">
        <is>
          <t>Does money buy happiness?</t>
        </is>
      </c>
      <c r="D64" s="2" t="inlineStr">
        <is>
          <t>Not necessarily, but there is no universal income level at which money stops mattering.</t>
        </is>
      </c>
      <c r="E64" s="2" t="inlineStr">
        <is>
          <t>An influential 2010 study suggested that day-to-day emotional well-being leveled off at around $75,000 in annual income.</t>
        </is>
      </c>
      <c r="F64" s="5" t="n"/>
      <c r="G64" s="5" t="n"/>
      <c r="H64" s="5" t="n"/>
    </row>
    <row r="65">
      <c r="A65" s="2" t="inlineStr">
        <is>
          <t>C03-23</t>
        </is>
      </c>
      <c r="B65" s="2" t="inlineStr">
        <is>
          <t>c4-c03</t>
        </is>
      </c>
      <c r="C65" s="2" t="inlineStr">
        <is>
          <t>Does money buy happiness?</t>
        </is>
      </c>
      <c r="D65" s="2" t="inlineStr">
        <is>
          <t>An influential 2010 study suggested that day-to-day emotional well-being leveled off at around $75,000 in annual income.</t>
        </is>
      </c>
      <c r="E65" s="2" t="inlineStr">
        <is>
          <t>Later research challenged that conclusion, and a 2023 collaborative study found that happiness generally continued to rise with income for most participants, while leveling off for the least-happy group at higher incomes.</t>
        </is>
      </c>
      <c r="F65" s="5" t="n"/>
      <c r="G65" s="5" t="n"/>
      <c r="H65" s="5" t="n"/>
    </row>
    <row r="66">
      <c r="A66" s="2" t="inlineStr">
        <is>
          <t>C03-24</t>
        </is>
      </c>
      <c r="B66" s="2" t="inlineStr">
        <is>
          <t>c4-c03</t>
        </is>
      </c>
      <c r="C66" s="2" t="inlineStr">
        <is>
          <t>Does money buy happiness?</t>
        </is>
      </c>
      <c r="D66" s="2" t="inlineStr">
        <is>
          <t>Later research challenged that conclusion, and a 2023 collaborative study found that happiness generally continued to rise with income for most participants, while leveling off for the least-happy group at higher incomes.</t>
        </is>
      </c>
      <c r="E66" s="2" t="inlineStr">
        <is>
          <t>These findings concern U.S. populations and should not be treated as a universal rule.</t>
        </is>
      </c>
      <c r="F66" s="5" t="n"/>
      <c r="G66" s="5" t="n"/>
      <c r="H66" s="5" t="n"/>
    </row>
    <row r="67">
      <c r="A67" s="2" t="inlineStr">
        <is>
          <t>C03-25</t>
        </is>
      </c>
      <c r="B67" s="2" t="inlineStr">
        <is>
          <t>c4-c03</t>
        </is>
      </c>
      <c r="C67" s="2" t="inlineStr">
        <is>
          <t>Does money buy happiness?</t>
        </is>
      </c>
      <c r="D67" s="2" t="inlineStr">
        <is>
          <t>These findings concern U.S. populations and should not be treated as a universal rule.</t>
        </is>
      </c>
      <c r="E67" s="2" t="inlineStr">
        <is>
          <t>Money is best understood as a tool for improving the conditions in which happiness can grow, rather than a guarantee of happiness itself.</t>
        </is>
      </c>
      <c r="F67" s="5" t="n"/>
      <c r="G67" s="5" t="n"/>
      <c r="H67" s="5" t="n"/>
    </row>
    <row r="68">
      <c r="A68" s="2" t="inlineStr">
        <is>
          <t>C03-26</t>
        </is>
      </c>
      <c r="B68" s="2" t="inlineStr">
        <is>
          <t>c4-c03</t>
        </is>
      </c>
      <c r="C68" s="2" t="inlineStr">
        <is>
          <t>Does money buy happiness?</t>
        </is>
      </c>
      <c r="D68" s="2" t="inlineStr">
        <is>
          <t>Money is best understood as a tool for improving the conditions in which happiness can grow, rather than a guarantee of happiness itself.</t>
        </is>
      </c>
      <c r="E68" s="2" t="inlineStr">
        <is>
          <t>Having too little money can make life much harder.</t>
        </is>
      </c>
      <c r="F68" s="5" t="n"/>
      <c r="G68" s="5" t="n"/>
      <c r="H68" s="5" t="n"/>
    </row>
    <row r="69">
      <c r="A69" s="2" t="inlineStr">
        <is>
          <t>C03-27</t>
        </is>
      </c>
      <c r="B69" s="2" t="inlineStr">
        <is>
          <t>c4-c03</t>
        </is>
      </c>
      <c r="C69" s="2" t="inlineStr">
        <is>
          <t>Does money buy happiness?</t>
        </is>
      </c>
      <c r="D69" s="2" t="inlineStr">
        <is>
          <t>Having too little money can make life much harder.</t>
        </is>
      </c>
      <c r="E69" s="2" t="inlineStr">
        <is>
          <t>Having more money can provide security, options, and enjoyable experiences.</t>
        </is>
      </c>
      <c r="F69" s="5" t="n"/>
      <c r="G69" s="5" t="n"/>
      <c r="H69" s="5" t="n"/>
    </row>
    <row r="70">
      <c r="A70" s="2" t="inlineStr">
        <is>
          <t>C03-28</t>
        </is>
      </c>
      <c r="B70" s="2" t="inlineStr">
        <is>
          <t>c4-c03</t>
        </is>
      </c>
      <c r="C70" s="2" t="inlineStr">
        <is>
          <t>Does money buy happiness?</t>
        </is>
      </c>
      <c r="D70" s="2" t="inlineStr">
        <is>
          <t>Having more money can provide security, options, and enjoyable experiences.</t>
        </is>
      </c>
      <c r="E70" s="2" t="inlineStr">
        <is>
          <t>But beyond financial security, how people use their money—and how they balance it with relationships, health, purpose, and time—also matters.</t>
        </is>
      </c>
      <c r="F70" s="5" t="n"/>
      <c r="G70" s="5" t="n"/>
      <c r="H70" s="5" t="n"/>
    </row>
    <row r="71">
      <c r="A71" s="2" t="inlineStr">
        <is>
          <t>C03-29</t>
        </is>
      </c>
      <c r="B71" s="2" t="inlineStr">
        <is>
          <t>c4-c03</t>
        </is>
      </c>
      <c r="C71" s="2" t="inlineStr">
        <is>
          <t>Does money buy happiness?</t>
        </is>
      </c>
      <c r="D71" s="2" t="inlineStr">
        <is>
          <t>But beyond financial security, how people use their money—and how they balance it with relationships, health, purpose, and time—also matters.</t>
        </is>
      </c>
      <c r="E71" s="2" t="inlineStr">
        <is>
          <t>Your answer reveals something important about what you value more: money itself, or the life that money allows you to live.</t>
        </is>
      </c>
      <c r="F71" s="5" t="n"/>
      <c r="G71" s="5" t="n"/>
      <c r="H71" s="5" t="n"/>
    </row>
    <row r="72">
      <c r="A72" s="2" t="inlineStr">
        <is>
          <t>C04-01</t>
        </is>
      </c>
      <c r="B72" s="2" t="inlineStr">
        <is>
          <t>c4-c04</t>
        </is>
      </c>
      <c r="C72" s="2" t="inlineStr">
        <is>
          <t>Is organic food healthier than conventional food?</t>
        </is>
      </c>
      <c r="D72" s="2" t="inlineStr"/>
      <c r="E72" s="2" t="inlineStr">
        <is>
          <t>Organic food can have some advantages, but scientific evidence does not consistently show that it is significantly more nutritious or healthier to eat than conventional food.</t>
        </is>
      </c>
      <c r="F72" s="5" t="n"/>
      <c r="G72" s="5" t="n"/>
      <c r="H72" s="5" t="n"/>
    </row>
    <row r="73">
      <c r="A73" s="2" t="inlineStr">
        <is>
          <t>C04-02</t>
        </is>
      </c>
      <c r="B73" s="2" t="inlineStr">
        <is>
          <t>c4-c04</t>
        </is>
      </c>
      <c r="C73" s="2" t="inlineStr">
        <is>
          <t>Is organic food healthier than conventional food?</t>
        </is>
      </c>
      <c r="D73" s="2" t="inlineStr">
        <is>
          <t>Organic food can have some advantages, but scientific evidence does not consistently show that it is significantly more nutritious or healthier to eat than conventional food.</t>
        </is>
      </c>
      <c r="E73" s="2" t="inlineStr">
        <is>
          <t>The main difference is how food is grown and produced, rather than how many nutrients it contains.</t>
        </is>
      </c>
      <c r="F73" s="5" t="n"/>
      <c r="G73" s="5" t="n"/>
      <c r="H73" s="5" t="n"/>
    </row>
    <row r="74">
      <c r="A74" s="2" t="inlineStr">
        <is>
          <t>C04-03</t>
        </is>
      </c>
      <c r="B74" s="2" t="inlineStr">
        <is>
          <t>c4-c04</t>
        </is>
      </c>
      <c r="C74" s="2" t="inlineStr">
        <is>
          <t>Is organic food healthier than conventional food?</t>
        </is>
      </c>
      <c r="D74" s="2" t="inlineStr">
        <is>
          <t>The main difference is how food is grown and produced, rather than how many nutrients it contains.</t>
        </is>
      </c>
      <c r="E74" s="2" t="inlineStr">
        <is>
          <t>- Organic food is produced under standards that restrict many synthetic pesticides and fertilizers, prohibit genetic engineering under U.S. organic rules, and set requirements for livestock practices.</t>
        </is>
      </c>
      <c r="F74" s="5" t="n"/>
      <c r="G74" s="5" t="n"/>
      <c r="H74" s="5" t="n"/>
    </row>
    <row r="75">
      <c r="A75" s="2" t="inlineStr">
        <is>
          <t>C04-04</t>
        </is>
      </c>
      <c r="B75" s="2" t="inlineStr">
        <is>
          <t>c4-c04</t>
        </is>
      </c>
      <c r="C75" s="2" t="inlineStr">
        <is>
          <t>Is organic food healthier than conventional food?</t>
        </is>
      </c>
      <c r="D75" s="2" t="inlineStr">
        <is>
          <t>- Organic food is produced under standards that restrict many synthetic pesticides and fertilizers, prohibit genetic engineering under U.S. organic rules, and set requirements for livestock practices.</t>
        </is>
      </c>
      <c r="E75" s="2" t="inlineStr">
        <is>
          <t>- Conventional food is produced using a wider range of permitted farming methods, including synthetic fertilizers and pesticides.</t>
        </is>
      </c>
      <c r="F75" s="5" t="n"/>
      <c r="G75" s="5" t="n"/>
      <c r="H75" s="5" t="n"/>
    </row>
    <row r="76">
      <c r="A76" s="2" t="inlineStr">
        <is>
          <t>C04-05</t>
        </is>
      </c>
      <c r="B76" s="2" t="inlineStr">
        <is>
          <t>c4-c04</t>
        </is>
      </c>
      <c r="C76" s="2" t="inlineStr">
        <is>
          <t>Is organic food healthier than conventional food?</t>
        </is>
      </c>
      <c r="D76" s="2" t="inlineStr">
        <is>
          <t>- Conventional food is produced using a wider range of permitted farming methods, including synthetic fertilizers and pesticides.</t>
        </is>
      </c>
      <c r="E76" s="2" t="inlineStr">
        <is>
          <t>Both can be part of a healthy diet.</t>
        </is>
      </c>
      <c r="F76" s="5" t="n"/>
      <c r="G76" s="5" t="n"/>
      <c r="H76" s="5" t="n"/>
    </row>
    <row r="77">
      <c r="A77" s="2" t="inlineStr">
        <is>
          <t>C04-06</t>
        </is>
      </c>
      <c r="B77" s="2" t="inlineStr">
        <is>
          <t>c4-c04</t>
        </is>
      </c>
      <c r="C77" s="2" t="inlineStr">
        <is>
          <t>Is organic food healthier than conventional food?</t>
        </is>
      </c>
      <c r="D77" s="2" t="inlineStr">
        <is>
          <t>Both can be part of a healthy diet.</t>
        </is>
      </c>
      <c r="E77" s="2" t="inlineStr">
        <is>
          <t>Organic produce sometimes contains higher levels of certain nutrients or plant compounds.</t>
        </is>
      </c>
      <c r="F77" s="5" t="n"/>
      <c r="G77" s="5" t="n"/>
      <c r="H77" s="5" t="n"/>
    </row>
    <row r="78">
      <c r="A78" s="2" t="inlineStr">
        <is>
          <t>C04-07</t>
        </is>
      </c>
      <c r="B78" s="2" t="inlineStr">
        <is>
          <t>c4-c04</t>
        </is>
      </c>
      <c r="C78" s="2" t="inlineStr">
        <is>
          <t>Is organic food healthier than conventional food?</t>
        </is>
      </c>
      <c r="D78" s="2" t="inlineStr">
        <is>
          <t>Organic produce sometimes contains higher levels of certain nutrients or plant compounds.</t>
        </is>
      </c>
      <c r="E78" s="2" t="inlineStr">
        <is>
          <t>However, a 2024 systematic review found no consistent nutritional advantage across the foods studied.</t>
        </is>
      </c>
      <c r="F78" s="5" t="n"/>
      <c r="G78" s="5" t="n"/>
      <c r="H78" s="5" t="n"/>
    </row>
    <row r="79">
      <c r="A79" s="2" t="inlineStr">
        <is>
          <t>C04-08</t>
        </is>
      </c>
      <c r="B79" s="2" t="inlineStr">
        <is>
          <t>c4-c04</t>
        </is>
      </c>
      <c r="C79" s="2" t="inlineStr">
        <is>
          <t>Is organic food healthier than conventional food?</t>
        </is>
      </c>
      <c r="D79" s="2" t="inlineStr">
        <is>
          <t>However, a 2024 systematic review found no consistent nutritional advantage across the foods studied.</t>
        </is>
      </c>
      <c r="E79" s="2" t="inlineStr">
        <is>
          <t>Organic produce generally has fewer detectable residues of synthetic pesticides.</t>
        </is>
      </c>
      <c r="F79" s="5" t="n"/>
      <c r="G79" s="5" t="n"/>
      <c r="H79" s="5" t="n"/>
    </row>
    <row r="80">
      <c r="A80" s="2" t="inlineStr">
        <is>
          <t>C04-09</t>
        </is>
      </c>
      <c r="B80" s="2" t="inlineStr">
        <is>
          <t>c4-c04</t>
        </is>
      </c>
      <c r="C80" s="2" t="inlineStr">
        <is>
          <t>Is organic food healthier than conventional food?</t>
        </is>
      </c>
      <c r="D80" s="2" t="inlineStr">
        <is>
          <t>Organic produce generally has fewer detectable residues of synthetic pesticides.</t>
        </is>
      </c>
      <c r="E80" s="2" t="inlineStr">
        <is>
          <t>However, organic farming can use certain approved pesticides, too.</t>
        </is>
      </c>
      <c r="F80" s="5" t="n"/>
      <c r="G80" s="5" t="n"/>
      <c r="H80" s="5" t="n"/>
    </row>
    <row r="81">
      <c r="A81" s="2" t="inlineStr">
        <is>
          <t>C04-10</t>
        </is>
      </c>
      <c r="B81" s="2" t="inlineStr">
        <is>
          <t>c4-c04</t>
        </is>
      </c>
      <c r="C81" s="2" t="inlineStr">
        <is>
          <t>Is organic food healthier than conventional food?</t>
        </is>
      </c>
      <c r="D81" s="2" t="inlineStr">
        <is>
          <t>However, organic farming can use certain approved pesticides, too.</t>
        </is>
      </c>
      <c r="E81" s="2" t="inlineStr">
        <is>
          <t>Lower residue levels do not automatically mean a measurable improvement in long-term health.</t>
        </is>
      </c>
      <c r="F81" s="5" t="n"/>
      <c r="G81" s="5" t="n"/>
      <c r="H81" s="5" t="n"/>
    </row>
    <row r="82">
      <c r="A82" s="2" t="inlineStr">
        <is>
          <t>C04-11</t>
        </is>
      </c>
      <c r="B82" s="2" t="inlineStr">
        <is>
          <t>c4-c04</t>
        </is>
      </c>
      <c r="C82" s="2" t="inlineStr">
        <is>
          <t>Is organic food healthier than conventional food?</t>
        </is>
      </c>
      <c r="D82" s="2" t="inlineStr">
        <is>
          <t>Lower residue levels do not automatically mean a measurable improvement in long-term health.</t>
        </is>
      </c>
      <c r="E82" s="2" t="inlineStr">
        <is>
          <t>Organic foods often cost more.</t>
        </is>
      </c>
      <c r="F82" s="5" t="n"/>
      <c r="G82" s="5" t="n"/>
      <c r="H82" s="5" t="n"/>
    </row>
    <row r="83">
      <c r="A83" s="2" t="inlineStr">
        <is>
          <t>C04-12</t>
        </is>
      </c>
      <c r="B83" s="2" t="inlineStr">
        <is>
          <t>c4-c04</t>
        </is>
      </c>
      <c r="C83" s="2" t="inlineStr">
        <is>
          <t>Is organic food healthier than conventional food?</t>
        </is>
      </c>
      <c r="D83" s="2" t="inlineStr">
        <is>
          <t>Organic foods often cost more.</t>
        </is>
      </c>
      <c r="E83" s="2" t="inlineStr">
        <is>
          <t>If buying organic means you can afford fewer fruits, vegetables, or other nutritious foods, conventional options can be the better choice for your overall diet.</t>
        </is>
      </c>
      <c r="F83" s="5" t="n"/>
      <c r="G83" s="5" t="n"/>
      <c r="H83" s="5" t="n"/>
    </row>
    <row r="84">
      <c r="A84" s="2" t="inlineStr">
        <is>
          <t>C04-13</t>
        </is>
      </c>
      <c r="B84" s="2" t="inlineStr">
        <is>
          <t>c4-c04</t>
        </is>
      </c>
      <c r="C84" s="2" t="inlineStr">
        <is>
          <t>Is organic food healthier than conventional food?</t>
        </is>
      </c>
      <c r="D84" s="2" t="inlineStr">
        <is>
          <t>If buying organic means you can afford fewer fruits, vegetables, or other nutritious foods, conventional options can be the better choice for your overall diet.</t>
        </is>
      </c>
      <c r="E84" s="2" t="inlineStr">
        <is>
          <t>- Buy whichever fresh fruits and vegetables you can afford, whether organic or conventional.</t>
        </is>
      </c>
      <c r="F84" s="5" t="n"/>
      <c r="G84" s="5" t="n"/>
      <c r="H84" s="5" t="n"/>
    </row>
    <row r="85">
      <c r="A85" s="2" t="inlineStr">
        <is>
          <t>C04-14</t>
        </is>
      </c>
      <c r="B85" s="2" t="inlineStr">
        <is>
          <t>c4-c04</t>
        </is>
      </c>
      <c r="C85" s="2" t="inlineStr">
        <is>
          <t>Is organic food healthier than conventional food?</t>
        </is>
      </c>
      <c r="D85" s="2" t="inlineStr">
        <is>
          <t>- Buy whichever fresh fruits and vegetables you can afford, whether organic or conventional.</t>
        </is>
      </c>
      <c r="E85" s="2" t="inlineStr">
        <is>
          <t>- Wash produce under running water before eating or preparing it.</t>
        </is>
      </c>
      <c r="F85" s="5" t="n"/>
      <c r="G85" s="5" t="n"/>
      <c r="H85" s="5" t="n"/>
    </row>
    <row r="86">
      <c r="A86" s="2" t="inlineStr">
        <is>
          <t>C04-15</t>
        </is>
      </c>
      <c r="B86" s="2" t="inlineStr">
        <is>
          <t>c4-c04</t>
        </is>
      </c>
      <c r="C86" s="2" t="inlineStr">
        <is>
          <t>Is organic food healthier than conventional food?</t>
        </is>
      </c>
      <c r="D86" s="2" t="inlineStr">
        <is>
          <t>- Wash produce under running water before eating or preparing it.</t>
        </is>
      </c>
      <c r="E86" s="2" t="inlineStr">
        <is>
          <t>Washing can reduce dirt and some residues, although it won't remove all pesticide residues.</t>
        </is>
      </c>
      <c r="F86" s="5" t="n"/>
      <c r="G86" s="5" t="n"/>
      <c r="H86" s="5" t="n"/>
    </row>
    <row r="87">
      <c r="A87" s="2" t="inlineStr">
        <is>
          <t>C04-16</t>
        </is>
      </c>
      <c r="B87" s="2" t="inlineStr">
        <is>
          <t>c4-c04</t>
        </is>
      </c>
      <c r="C87" s="2" t="inlineStr">
        <is>
          <t>Is organic food healthier than conventional food?</t>
        </is>
      </c>
      <c r="D87" s="2" t="inlineStr">
        <is>
          <t>Washing can reduce dirt and some residues, although it won't remove all pesticide residues.</t>
        </is>
      </c>
      <c r="E87" s="2" t="inlineStr">
        <is>
          <t>- Don't assume that organic cookies, chips, or sugary drinks are healthier than conventional versions.</t>
        </is>
      </c>
      <c r="F87" s="5" t="n"/>
      <c r="G87" s="5" t="n"/>
      <c r="H87" s="5" t="n"/>
    </row>
    <row r="88">
      <c r="A88" s="2" t="inlineStr">
        <is>
          <t>C04-17</t>
        </is>
      </c>
      <c r="B88" s="2" t="inlineStr">
        <is>
          <t>c4-c04</t>
        </is>
      </c>
      <c r="C88" s="2" t="inlineStr">
        <is>
          <t>Is organic food healthier than conventional food?</t>
        </is>
      </c>
      <c r="D88" s="2" t="inlineStr">
        <is>
          <t>- Don't assume that organic cookies, chips, or sugary drinks are healthier than conventional versions.</t>
        </is>
      </c>
      <c r="E88" s="2" t="inlineStr">
        <is>
          <t>Organic describes production methods, not whether a product is nutritious.</t>
        </is>
      </c>
      <c r="F88" s="5" t="n"/>
      <c r="G88" s="5" t="n"/>
      <c r="H88" s="5" t="n"/>
    </row>
    <row r="89">
      <c r="A89" s="2" t="inlineStr">
        <is>
          <t>C04-18</t>
        </is>
      </c>
      <c r="B89" s="2" t="inlineStr">
        <is>
          <t>c4-c04</t>
        </is>
      </c>
      <c r="C89" s="2" t="inlineStr">
        <is>
          <t>Is organic food healthier than conventional food?</t>
        </is>
      </c>
      <c r="D89" s="2" t="inlineStr">
        <is>
          <t>Organic describes production methods, not whether a product is nutritious.</t>
        </is>
      </c>
      <c r="E89" s="2" t="inlineStr">
        <is>
          <t>- If reducing exposure to certain pesticides is a priority for you and organic produce fits your budget, choosing organic for some foods is reasonable.</t>
        </is>
      </c>
      <c r="F89" s="5" t="n"/>
      <c r="G89" s="5" t="n"/>
      <c r="H89" s="5" t="n"/>
    </row>
    <row r="90">
      <c r="A90" s="2" t="inlineStr">
        <is>
          <t>C04-19</t>
        </is>
      </c>
      <c r="B90" s="2" t="inlineStr">
        <is>
          <t>c4-c04</t>
        </is>
      </c>
      <c r="C90" s="2" t="inlineStr">
        <is>
          <t>Is organic food healthier than conventional food?</t>
        </is>
      </c>
      <c r="D90" s="2" t="inlineStr">
        <is>
          <t>- If reducing exposure to certain pesticides is a priority for you and organic produce fits your budget, choosing organic for some foods is reasonable.</t>
        </is>
      </c>
      <c r="E90" s="2" t="inlineStr">
        <is>
          <t>Organic food isn't automatically healthier than conventional food.</t>
        </is>
      </c>
      <c r="F90" s="5" t="n"/>
      <c r="G90" s="5" t="n"/>
      <c r="H90" s="5" t="n"/>
    </row>
    <row r="91">
      <c r="A91" s="2" t="inlineStr">
        <is>
          <t>C04-20</t>
        </is>
      </c>
      <c r="B91" s="2" t="inlineStr">
        <is>
          <t>c4-c04</t>
        </is>
      </c>
      <c r="C91" s="2" t="inlineStr">
        <is>
          <t>Is organic food healthier than conventional food?</t>
        </is>
      </c>
      <c r="D91" s="2" t="inlineStr">
        <is>
          <t>Organic food isn't automatically healthier than conventional food.</t>
        </is>
      </c>
      <c r="E91" s="2" t="inlineStr">
        <is>
          <t>Its clearest advantage is generally lower exposure to residues from certain synthetic pesticides, while its nutritional advantages are inconsistent and its long-term health benefits remain uncertain.</t>
        </is>
      </c>
      <c r="F91" s="5" t="n"/>
      <c r="G91" s="5" t="n"/>
      <c r="H91" s="5" t="n"/>
    </row>
    <row r="92">
      <c r="A92" s="2" t="inlineStr">
        <is>
          <t>C04-21</t>
        </is>
      </c>
      <c r="B92" s="2" t="inlineStr">
        <is>
          <t>c4-c04</t>
        </is>
      </c>
      <c r="C92" s="2" t="inlineStr">
        <is>
          <t>Is organic food healthier than conventional food?</t>
        </is>
      </c>
      <c r="D92" s="2" t="inlineStr">
        <is>
          <t>Its clearest advantage is generally lower exposure to residues from certain synthetic pesticides, while its nutritional advantages are inconsistent and its long-term health benefits remain uncertain.</t>
        </is>
      </c>
      <c r="E92" s="2" t="inlineStr">
        <is>
          <t>The biggest priority is eating a varied, balanced diet with plenty of fruits and vegetables.</t>
        </is>
      </c>
      <c r="F92" s="5" t="n"/>
      <c r="G92" s="5" t="n"/>
      <c r="H92" s="5" t="n"/>
    </row>
    <row r="93">
      <c r="A93" s="2" t="inlineStr">
        <is>
          <t>C04-22</t>
        </is>
      </c>
      <c r="B93" s="2" t="inlineStr">
        <is>
          <t>c4-c04</t>
        </is>
      </c>
      <c r="C93" s="2" t="inlineStr">
        <is>
          <t>Is organic food healthier than conventional food?</t>
        </is>
      </c>
      <c r="D93" s="2" t="inlineStr">
        <is>
          <t>The biggest priority is eating a varied, balanced diet with plenty of fruits and vegetables.</t>
        </is>
      </c>
      <c r="E93" s="2" t="inlineStr">
        <is>
          <t>Conventional produce is a nutritious choice, too.</t>
        </is>
      </c>
      <c r="F93" s="5" t="n"/>
      <c r="G93" s="5" t="n"/>
      <c r="H93" s="5" t="n"/>
    </row>
    <row r="94">
      <c r="A94" s="2" t="inlineStr">
        <is>
          <t>C05-01</t>
        </is>
      </c>
      <c r="B94" s="2" t="inlineStr">
        <is>
          <t>c4-c05</t>
        </is>
      </c>
      <c r="C94" s="2" t="inlineStr">
        <is>
          <t>Do kids learn better with homework?</t>
        </is>
      </c>
      <c r="D94" s="2" t="inlineStr"/>
      <c r="E94" s="2" t="inlineStr">
        <is>
          <t>Yes, sometimes—but it depends on the child's age, the type of homework, and how much is assigned.</t>
        </is>
      </c>
      <c r="F94" s="5" t="n"/>
      <c r="G94" s="5" t="n"/>
      <c r="H94" s="5" t="n"/>
    </row>
    <row r="95">
      <c r="A95" s="2" t="inlineStr">
        <is>
          <t>C05-02</t>
        </is>
      </c>
      <c r="B95" s="2" t="inlineStr">
        <is>
          <t>c4-c05</t>
        </is>
      </c>
      <c r="C95" s="2" t="inlineStr">
        <is>
          <t>Do kids learn better with homework?</t>
        </is>
      </c>
      <c r="D95" s="2" t="inlineStr">
        <is>
          <t>Yes, sometimes—but it depends on the child's age, the type of homework, and how much is assigned.</t>
        </is>
      </c>
      <c r="E95" s="2" t="inlineStr">
        <is>
          <t>Homework can help children practice what they learn in school, develop independent study habits, and remember information.</t>
        </is>
      </c>
      <c r="F95" s="5" t="n"/>
      <c r="G95" s="5" t="n"/>
      <c r="H95" s="5" t="n"/>
    </row>
    <row r="96">
      <c r="A96" s="2" t="inlineStr">
        <is>
          <t>C05-03</t>
        </is>
      </c>
      <c r="B96" s="2" t="inlineStr">
        <is>
          <t>c4-c05</t>
        </is>
      </c>
      <c r="C96" s="2" t="inlineStr">
        <is>
          <t>Do kids learn better with homework?</t>
        </is>
      </c>
      <c r="D96" s="2" t="inlineStr">
        <is>
          <t>Homework can help children practice what they learn in school, develop independent study habits, and remember information.</t>
        </is>
      </c>
      <c r="E96" s="2" t="inlineStr">
        <is>
          <t>However, too much homework can lead to stress, exhaustion, and less time for sleep, play, and family.</t>
        </is>
      </c>
      <c r="F96" s="5" t="n"/>
      <c r="G96" s="5" t="n"/>
      <c r="H96" s="5" t="n"/>
    </row>
    <row r="97">
      <c r="A97" s="2" t="inlineStr">
        <is>
          <t>C05-04</t>
        </is>
      </c>
      <c r="B97" s="2" t="inlineStr">
        <is>
          <t>c4-c05</t>
        </is>
      </c>
      <c r="C97" s="2" t="inlineStr">
        <is>
          <t>Do kids learn better with homework?</t>
        </is>
      </c>
      <c r="D97" s="2" t="inlineStr">
        <is>
          <t>However, too much homework can lead to stress, exhaustion, and less time for sleep, play, and family.</t>
        </is>
      </c>
      <c r="E97" s="2" t="inlineStr">
        <is>
          <t>The important distinction is that giving children more homework does not automatically mean they will learn more.</t>
        </is>
      </c>
      <c r="F97" s="5" t="n"/>
      <c r="G97" s="5" t="n"/>
      <c r="H97" s="5" t="n"/>
    </row>
    <row r="98">
      <c r="A98" s="2" t="inlineStr">
        <is>
          <t>C05-05</t>
        </is>
      </c>
      <c r="B98" s="2" t="inlineStr">
        <is>
          <t>c4-c05</t>
        </is>
      </c>
      <c r="C98" s="2" t="inlineStr">
        <is>
          <t>Do kids learn better with homework?</t>
        </is>
      </c>
      <c r="D98" s="2" t="inlineStr">
        <is>
          <t>The important distinction is that giving children more homework does not automatically mean they will learn more.</t>
        </is>
      </c>
      <c r="E98" s="2" t="inlineStr">
        <is>
          <t>A 2024 systematic review examined experimental studies of homework among school-age children.</t>
        </is>
      </c>
      <c r="F98" s="5" t="n"/>
      <c r="G98" s="5" t="n"/>
      <c r="H98" s="5" t="n"/>
    </row>
    <row r="99">
      <c r="A99" s="2" t="inlineStr">
        <is>
          <t>C05-06</t>
        </is>
      </c>
      <c r="B99" s="2" t="inlineStr">
        <is>
          <t>c4-c05</t>
        </is>
      </c>
      <c r="C99" s="2" t="inlineStr">
        <is>
          <t>Do kids learn better with homework?</t>
        </is>
      </c>
      <c r="D99" s="2" t="inlineStr">
        <is>
          <t>A 2024 systematic review examined experimental studies of homework among school-age children.</t>
        </is>
      </c>
      <c r="E99" s="2" t="inlineStr">
        <is>
          <t>It found that homework can improve academic performance, particularly in arithmetic computation and problem-solving.</t>
        </is>
      </c>
      <c r="F99" s="5" t="n"/>
      <c r="G99" s="5" t="n"/>
      <c r="H99" s="5" t="n"/>
    </row>
    <row r="100">
      <c r="A100" s="2" t="inlineStr">
        <is>
          <t>C05-07</t>
        </is>
      </c>
      <c r="B100" s="2" t="inlineStr">
        <is>
          <t>c4-c05</t>
        </is>
      </c>
      <c r="C100" s="2" t="inlineStr">
        <is>
          <t>Do kids learn better with homework?</t>
        </is>
      </c>
      <c r="D100" s="2" t="inlineStr">
        <is>
          <t>It found that homework can improve academic performance, particularly in arithmetic computation and problem-solving.</t>
        </is>
      </c>
      <c r="E100" s="2" t="inlineStr">
        <is>
          <t>However, the researchers noted that the available experimental evidence was limited and that the ideal amount of homework remains unclear.</t>
        </is>
      </c>
      <c r="F100" s="5" t="n"/>
      <c r="G100" s="5" t="n"/>
      <c r="H100" s="5" t="n"/>
    </row>
    <row r="101">
      <c r="A101" s="2" t="inlineStr">
        <is>
          <t>C05-08</t>
        </is>
      </c>
      <c r="B101" s="2" t="inlineStr">
        <is>
          <t>c4-c05</t>
        </is>
      </c>
      <c r="C101" s="2" t="inlineStr">
        <is>
          <t>Do kids learn better with homework?</t>
        </is>
      </c>
      <c r="D101" s="2" t="inlineStr">
        <is>
          <t>However, the researchers noted that the available experimental evidence was limited and that the ideal amount of homework remains unclear.</t>
        </is>
      </c>
      <c r="E101" s="2" t="inlineStr">
        <is>
          <t>The benefits of traditional homework are smaller and less certain.</t>
        </is>
      </c>
      <c r="F101" s="5" t="n"/>
      <c r="G101" s="5" t="n"/>
      <c r="H101" s="5" t="n"/>
    </row>
    <row r="102">
      <c r="A102" s="2" t="inlineStr">
        <is>
          <t>C05-09</t>
        </is>
      </c>
      <c r="B102" s="2" t="inlineStr">
        <is>
          <t>c4-c05</t>
        </is>
      </c>
      <c r="C102" s="2" t="inlineStr">
        <is>
          <t>Do kids learn better with homework?</t>
        </is>
      </c>
      <c r="D102" s="2" t="inlineStr">
        <is>
          <t>The benefits of traditional homework are smaller and less certain.</t>
        </is>
      </c>
      <c r="E102" s="2" t="inlineStr">
        <is>
          <t>Short reading activities, spelling practice, and basic math exercises may be more useful than lengthy assignments.</t>
        </is>
      </c>
      <c r="F102" s="5" t="n"/>
      <c r="G102" s="5" t="n"/>
      <c r="H102" s="5" t="n"/>
    </row>
    <row r="103">
      <c r="A103" s="2" t="inlineStr">
        <is>
          <t>C05-10</t>
        </is>
      </c>
      <c r="B103" s="2" t="inlineStr">
        <is>
          <t>c4-c05</t>
        </is>
      </c>
      <c r="C103" s="2" t="inlineStr">
        <is>
          <t>Do kids learn better with homework?</t>
        </is>
      </c>
      <c r="D103" s="2" t="inlineStr">
        <is>
          <t>Short reading activities, spelling practice, and basic math exercises may be more useful than lengthy assignments.</t>
        </is>
      </c>
      <c r="E103" s="2" t="inlineStr">
        <is>
          <t>Homework can reinforce classroom lessons and help students build responsibility and independent study habits.</t>
        </is>
      </c>
      <c r="F103" s="5" t="n"/>
      <c r="G103" s="5" t="n"/>
      <c r="H103" s="5" t="n"/>
    </row>
    <row r="104">
      <c r="A104" s="2" t="inlineStr">
        <is>
          <t>C05-11</t>
        </is>
      </c>
      <c r="B104" s="2" t="inlineStr">
        <is>
          <t>c4-c05</t>
        </is>
      </c>
      <c r="C104" s="2" t="inlineStr">
        <is>
          <t>Do kids learn better with homework?</t>
        </is>
      </c>
      <c r="D104" s="2" t="inlineStr">
        <is>
          <t>Homework can reinforce classroom lessons and help students build responsibility and independent study habits.</t>
        </is>
      </c>
      <c r="E104" s="2" t="inlineStr">
        <is>
          <t>Purposeful homework generally has clearer academic benefits, particularly for practicing complex skills, preparing for examinations, and reviewing difficult concepts.</t>
        </is>
      </c>
      <c r="F104" s="5" t="n"/>
      <c r="G104" s="5" t="n"/>
      <c r="H104" s="5" t="n"/>
    </row>
    <row r="105">
      <c r="A105" s="2" t="inlineStr">
        <is>
          <t>C05-12</t>
        </is>
      </c>
      <c r="B105" s="2" t="inlineStr">
        <is>
          <t>c4-c05</t>
        </is>
      </c>
      <c r="C105" s="2" t="inlineStr">
        <is>
          <t>Do kids learn better with homework?</t>
        </is>
      </c>
      <c r="D105" s="2" t="inlineStr">
        <is>
          <t>Purposeful homework generally has clearer academic benefits, particularly for practicing complex skills, preparing for examinations, and reviewing difficult concepts.</t>
        </is>
      </c>
      <c r="E105" s="2" t="inlineStr">
        <is>
          <t>- Repeats material students already understand without a clear learning purpose.</t>
        </is>
      </c>
      <c r="F105" s="5" t="n"/>
      <c r="G105" s="5" t="n"/>
      <c r="H105" s="5" t="n"/>
    </row>
    <row r="106">
      <c r="A106" s="2" t="inlineStr">
        <is>
          <t>C05-13</t>
        </is>
      </c>
      <c r="B106" s="2" t="inlineStr">
        <is>
          <t>c4-c05</t>
        </is>
      </c>
      <c r="C106" s="2" t="inlineStr">
        <is>
          <t>Do kids learn better with homework?</t>
        </is>
      </c>
      <c r="D106" s="2" t="inlineStr">
        <is>
          <t>- Repeats material students already understand without a clear learning purpose.</t>
        </is>
      </c>
      <c r="E106" s="2" t="inlineStr">
        <is>
          <t>- Takes so long that it interferes with sleep, exercise, or family time.</t>
        </is>
      </c>
      <c r="F106" s="5" t="n"/>
      <c r="G106" s="5" t="n"/>
      <c r="H106" s="5" t="n"/>
    </row>
    <row r="107">
      <c r="A107" s="2" t="inlineStr">
        <is>
          <t>C05-14</t>
        </is>
      </c>
      <c r="B107" s="2" t="inlineStr">
        <is>
          <t>c4-c05</t>
        </is>
      </c>
      <c r="C107" s="2" t="inlineStr">
        <is>
          <t>Do kids learn better with homework?</t>
        </is>
      </c>
      <c r="D107" s="2" t="inlineStr">
        <is>
          <t>- Takes so long that it interferes with sleep, exercise, or family time.</t>
        </is>
      </c>
      <c r="E107" s="2" t="inlineStr">
        <is>
          <t>- Requires resources or adult assistance that some children don't have.</t>
        </is>
      </c>
      <c r="F107" s="5" t="n"/>
      <c r="G107" s="5" t="n"/>
      <c r="H107" s="5" t="n"/>
    </row>
    <row r="108">
      <c r="A108" s="2" t="inlineStr">
        <is>
          <t>C05-15</t>
        </is>
      </c>
      <c r="B108" s="2" t="inlineStr">
        <is>
          <t>c4-c05</t>
        </is>
      </c>
      <c r="C108" s="2" t="inlineStr">
        <is>
          <t>Do kids learn better with homework?</t>
        </is>
      </c>
      <c r="D108" s="2" t="inlineStr">
        <is>
          <t>- Requires resources or adult assistance that some children don't have.</t>
        </is>
      </c>
      <c r="E108" s="2" t="inlineStr">
        <is>
          <t>- Is graded without useful feedback that helps students correct mistakes.</t>
        </is>
      </c>
      <c r="F108" s="5" t="n"/>
      <c r="G108" s="5" t="n"/>
      <c r="H108" s="5" t="n"/>
    </row>
    <row r="109">
      <c r="A109" s="2" t="inlineStr">
        <is>
          <t>C05-16</t>
        </is>
      </c>
      <c r="B109" s="2" t="inlineStr">
        <is>
          <t>c4-c05</t>
        </is>
      </c>
      <c r="C109" s="2" t="inlineStr">
        <is>
          <t>Do kids learn better with homework?</t>
        </is>
      </c>
      <c r="D109" s="2" t="inlineStr">
        <is>
          <t>- Is graded without useful feedback that helps students correct mistakes.</t>
        </is>
      </c>
      <c r="E109" s="2" t="inlineStr">
        <is>
          <t>Research suggests that the quality of homework matters more than the quantity, and that feedback helps students benefit from assignments.</t>
        </is>
      </c>
      <c r="F109" s="5" t="n"/>
      <c r="G109" s="5" t="n"/>
      <c r="H109" s="5" t="n"/>
    </row>
    <row r="110">
      <c r="A110" s="2" t="inlineStr">
        <is>
          <t>C05-17</t>
        </is>
      </c>
      <c r="B110" s="2" t="inlineStr">
        <is>
          <t>c4-c05</t>
        </is>
      </c>
      <c r="C110" s="2" t="inlineStr">
        <is>
          <t>Do kids learn better with homework?</t>
        </is>
      </c>
      <c r="D110" s="2" t="inlineStr">
        <is>
          <t>Research suggests that the quality of homework matters more than the quantity, and that feedback helps students benefit from assignments.</t>
        </is>
      </c>
      <c r="E110" s="2" t="inlineStr">
        <is>
          <t>Homework can help children learn, especially as they get older, but it should reinforce learning rather than simply increase the number of hours children spend studying.</t>
        </is>
      </c>
      <c r="F110" s="5" t="n"/>
      <c r="G110" s="5" t="n"/>
      <c r="H110" s="5" t="n"/>
    </row>
    <row r="111">
      <c r="A111" s="2" t="inlineStr">
        <is>
          <t>C05-18</t>
        </is>
      </c>
      <c r="B111" s="2" t="inlineStr">
        <is>
          <t>c4-c05</t>
        </is>
      </c>
      <c r="C111" s="2" t="inlineStr">
        <is>
          <t>Do kids learn better with homework?</t>
        </is>
      </c>
      <c r="D111" s="2" t="inlineStr">
        <is>
          <t>Homework can help children learn, especially as they get older, but it should reinforce learning rather than simply increase the number of hours children spend studying.</t>
        </is>
      </c>
      <c r="E111" s="2" t="inlineStr">
        <is>
          <t>A good approach is to assign meaningful, age-appropriate work that children can complete independently, then use their mistakes to guide further teaching.</t>
        </is>
      </c>
      <c r="F111" s="5" t="n"/>
      <c r="G111" s="5" t="n"/>
      <c r="H111" s="5" t="n"/>
    </row>
    <row r="112">
      <c r="A112" s="2" t="inlineStr">
        <is>
          <t>C05-19</t>
        </is>
      </c>
      <c r="B112" s="2" t="inlineStr">
        <is>
          <t>c4-c05</t>
        </is>
      </c>
      <c r="C112" s="2" t="inlineStr">
        <is>
          <t>Do kids learn better with homework?</t>
        </is>
      </c>
      <c r="D112" s="2" t="inlineStr">
        <is>
          <t>A good approach is to assign meaningful, age-appropriate work that children can complete independently, then use their mistakes to guide further teaching.</t>
        </is>
      </c>
      <c r="E112" s="2" t="inlineStr">
        <is>
          <t>The key question isn't whether children should have homework, but whether the homework they're given actually helps them learn.</t>
        </is>
      </c>
      <c r="F112" s="5" t="n"/>
      <c r="G112" s="5" t="n"/>
      <c r="H112" s="5" t="n"/>
    </row>
    <row r="113">
      <c r="A113" s="2" t="inlineStr">
        <is>
          <t>C06-01</t>
        </is>
      </c>
      <c r="B113" s="2" t="inlineStr">
        <is>
          <t>c4-c06</t>
        </is>
      </c>
      <c r="C113" s="2" t="inlineStr">
        <is>
          <t>Are introverts worse leaders than extroverts?</t>
        </is>
      </c>
      <c r="D113" s="2" t="inlineStr"/>
      <c r="E113" s="2" t="inlineStr">
        <is>
          <t>No. Introverts are not inherently worse leaders than extroverts.</t>
        </is>
      </c>
      <c r="F113" s="5" t="n"/>
      <c r="G113" s="5" t="n"/>
      <c r="H113" s="5" t="n"/>
    </row>
    <row r="114">
      <c r="A114" s="2" t="inlineStr">
        <is>
          <t>C06-02</t>
        </is>
      </c>
      <c r="B114" s="2" t="inlineStr">
        <is>
          <t>c4-c06</t>
        </is>
      </c>
      <c r="C114" s="2" t="inlineStr">
        <is>
          <t>Are introverts worse leaders than extroverts?</t>
        </is>
      </c>
      <c r="D114" s="2" t="inlineStr">
        <is>
          <t>No. Introverts are not inherently worse leaders than extroverts.</t>
        </is>
      </c>
      <c r="E114" s="2" t="inlineStr">
        <is>
          <t>However, research suggests that extroverts often have an advantage in being recognized as leaders, while the effectiveness of either type depends partly on the team, the situation, and the leader's behavior.</t>
        </is>
      </c>
      <c r="F114" s="5" t="n"/>
      <c r="G114" s="5" t="n"/>
      <c r="H114" s="5" t="n"/>
    </row>
    <row r="115">
      <c r="A115" s="2" t="inlineStr">
        <is>
          <t>C06-03</t>
        </is>
      </c>
      <c r="B115" s="2" t="inlineStr">
        <is>
          <t>c4-c06</t>
        </is>
      </c>
      <c r="C115" s="2" t="inlineStr">
        <is>
          <t>Are introverts worse leaders than extroverts?</t>
        </is>
      </c>
      <c r="D115" s="2" t="inlineStr">
        <is>
          <t>However, research suggests that extroverts often have an advantage in being recognized as leaders, while the effectiveness of either type depends partly on the team, the situation, and the leader's behavior.</t>
        </is>
      </c>
      <c r="E115" s="2" t="inlineStr">
        <is>
          <t>A 2002 meta-analysis published in the Journal of Applied Psychology, analyzing 73 samples, found that extraversion was the personality trait most consistently associated with leadership emergence and effectiveness.</t>
        </is>
      </c>
      <c r="F115" s="5" t="n"/>
      <c r="G115" s="5" t="n"/>
      <c r="H115" s="5" t="n"/>
    </row>
    <row r="116">
      <c r="A116" s="2" t="inlineStr">
        <is>
          <t>C06-04</t>
        </is>
      </c>
      <c r="B116" s="2" t="inlineStr">
        <is>
          <t>c4-c06</t>
        </is>
      </c>
      <c r="C116" s="2" t="inlineStr">
        <is>
          <t>Are introverts worse leaders than extroverts?</t>
        </is>
      </c>
      <c r="D116" s="2" t="inlineStr">
        <is>
          <t>A 2002 meta-analysis published in the Journal of Applied Psychology, analyzing 73 samples, found that extraversion was the personality trait most consistently associated with leadership emergence and effectiveness.</t>
        </is>
      </c>
      <c r="E116" s="2" t="inlineStr">
        <is>
          <t>But that does not mean every extrovert is a good leader or every introvert is a poor one.</t>
        </is>
      </c>
      <c r="F116" s="5" t="n"/>
      <c r="G116" s="5" t="n"/>
      <c r="H116" s="5" t="n"/>
    </row>
    <row r="117">
      <c r="A117" s="2" t="inlineStr">
        <is>
          <t>C06-05</t>
        </is>
      </c>
      <c r="B117" s="2" t="inlineStr">
        <is>
          <t>c4-c06</t>
        </is>
      </c>
      <c r="C117" s="2" t="inlineStr">
        <is>
          <t>Are introverts worse leaders than extroverts?</t>
        </is>
      </c>
      <c r="D117" s="2" t="inlineStr">
        <is>
          <t>But that does not mean every extrovert is a good leader or every introvert is a poor one.</t>
        </is>
      </c>
      <c r="E117" s="2" t="inlineStr">
        <is>
          <t>Often prefer quieter environments and time to think before speaking.</t>
        </is>
      </c>
      <c r="F117" s="5" t="n"/>
      <c r="G117" s="5" t="n"/>
      <c r="H117" s="5" t="n"/>
    </row>
    <row r="118">
      <c r="A118" s="2" t="inlineStr">
        <is>
          <t>C06-06</t>
        </is>
      </c>
      <c r="B118" s="2" t="inlineStr">
        <is>
          <t>c4-c06</t>
        </is>
      </c>
      <c r="C118" s="2" t="inlineStr">
        <is>
          <t>Are introverts worse leaders than extroverts?</t>
        </is>
      </c>
      <c r="D118" s="2" t="inlineStr">
        <is>
          <t>Often prefer quieter environments and time to think before speaking.</t>
        </is>
      </c>
      <c r="E118" s="2" t="inlineStr">
        <is>
          <t>- May listen carefully and consider different perspectives.</t>
        </is>
      </c>
      <c r="F118" s="5" t="n"/>
      <c r="G118" s="5" t="n"/>
      <c r="H118" s="5" t="n"/>
    </row>
    <row r="119">
      <c r="A119" s="2" t="inlineStr">
        <is>
          <t>C06-07</t>
        </is>
      </c>
      <c r="B119" s="2" t="inlineStr">
        <is>
          <t>c4-c06</t>
        </is>
      </c>
      <c r="C119" s="2" t="inlineStr">
        <is>
          <t>Are introverts worse leaders than extroverts?</t>
        </is>
      </c>
      <c r="D119" s="2" t="inlineStr">
        <is>
          <t>- May listen carefully and consider different perspectives.</t>
        </is>
      </c>
      <c r="E119" s="2" t="inlineStr">
        <is>
          <t>- May encourage team members to contribute instead of dominating discussions.</t>
        </is>
      </c>
      <c r="F119" s="5" t="n"/>
      <c r="G119" s="5" t="n"/>
      <c r="H119" s="5" t="n"/>
    </row>
    <row r="120">
      <c r="A120" s="2" t="inlineStr">
        <is>
          <t>C06-08</t>
        </is>
      </c>
      <c r="B120" s="2" t="inlineStr">
        <is>
          <t>c4-c06</t>
        </is>
      </c>
      <c r="C120" s="2" t="inlineStr">
        <is>
          <t>Are introverts worse leaders than extroverts?</t>
        </is>
      </c>
      <c r="D120" s="2" t="inlineStr">
        <is>
          <t>- May encourage team members to contribute instead of dominating discussions.</t>
        </is>
      </c>
      <c r="E120" s="2" t="inlineStr">
        <is>
          <t>- May be effective at thoughtful decision-making and giving people independence.</t>
        </is>
      </c>
      <c r="F120" s="5" t="n"/>
      <c r="G120" s="5" t="n"/>
      <c r="H120" s="5" t="n"/>
    </row>
    <row r="121">
      <c r="A121" s="2" t="inlineStr">
        <is>
          <t>C06-09</t>
        </is>
      </c>
      <c r="B121" s="2" t="inlineStr">
        <is>
          <t>c4-c06</t>
        </is>
      </c>
      <c r="C121" s="2" t="inlineStr">
        <is>
          <t>Are introverts worse leaders than extroverts?</t>
        </is>
      </c>
      <c r="D121" s="2" t="inlineStr">
        <is>
          <t>- May be effective at thoughtful decision-making and giving people independence.</t>
        </is>
      </c>
      <c r="E121" s="2" t="inlineStr">
        <is>
          <t>Often feel energized by social interaction and group activities.</t>
        </is>
      </c>
      <c r="F121" s="5" t="n"/>
      <c r="G121" s="5" t="n"/>
      <c r="H121" s="5" t="n"/>
    </row>
    <row r="122">
      <c r="A122" s="2" t="inlineStr">
        <is>
          <t>C06-10</t>
        </is>
      </c>
      <c r="B122" s="2" t="inlineStr">
        <is>
          <t>c4-c06</t>
        </is>
      </c>
      <c r="C122" s="2" t="inlineStr">
        <is>
          <t>Are introverts worse leaders than extroverts?</t>
        </is>
      </c>
      <c r="D122" s="2" t="inlineStr">
        <is>
          <t>Often feel energized by social interaction and group activities.</t>
        </is>
      </c>
      <c r="E122" s="2" t="inlineStr">
        <is>
          <t>- May communicate their vision enthusiastically.</t>
        </is>
      </c>
      <c r="F122" s="5" t="n"/>
      <c r="G122" s="5" t="n"/>
      <c r="H122" s="5" t="n"/>
    </row>
    <row r="123">
      <c r="A123" s="2" t="inlineStr">
        <is>
          <t>C06-11</t>
        </is>
      </c>
      <c r="B123" s="2" t="inlineStr">
        <is>
          <t>c4-c06</t>
        </is>
      </c>
      <c r="C123" s="2" t="inlineStr">
        <is>
          <t>Are introverts worse leaders than extroverts?</t>
        </is>
      </c>
      <c r="D123" s="2" t="inlineStr">
        <is>
          <t>- May communicate their vision enthusiastically.</t>
        </is>
      </c>
      <c r="E123" s="2" t="inlineStr">
        <is>
          <t>- May find networking, public speaking, and motivating a group more natural.</t>
        </is>
      </c>
      <c r="F123" s="5" t="n"/>
      <c r="G123" s="5" t="n"/>
      <c r="H123" s="5" t="n"/>
    </row>
    <row r="124">
      <c r="A124" s="2" t="inlineStr">
        <is>
          <t>C06-12</t>
        </is>
      </c>
      <c r="B124" s="2" t="inlineStr">
        <is>
          <t>c4-c06</t>
        </is>
      </c>
      <c r="C124" s="2" t="inlineStr">
        <is>
          <t>Are introverts worse leaders than extroverts?</t>
        </is>
      </c>
      <c r="D124" s="2" t="inlineStr">
        <is>
          <t>- May find networking, public speaking, and motivating a group more natural.</t>
        </is>
      </c>
      <c r="E124" s="2" t="inlineStr">
        <is>
          <t>- May be more likely to take charge in unfamiliar group settings.</t>
        </is>
      </c>
      <c r="F124" s="5" t="n"/>
      <c r="G124" s="5" t="n"/>
      <c r="H124" s="5" t="n"/>
    </row>
    <row r="125">
      <c r="A125" s="2" t="inlineStr">
        <is>
          <t>C06-13</t>
        </is>
      </c>
      <c r="B125" s="2" t="inlineStr">
        <is>
          <t>c4-c06</t>
        </is>
      </c>
      <c r="C125" s="2" t="inlineStr">
        <is>
          <t>Are introverts worse leaders than extroverts?</t>
        </is>
      </c>
      <c r="D125" s="2" t="inlineStr">
        <is>
          <t>- May be more likely to take charge in unfamiliar group settings.</t>
        </is>
      </c>
      <c r="E125" s="2" t="inlineStr">
        <is>
          <t>These are tendencies, not rules.</t>
        </is>
      </c>
      <c r="F125" s="5" t="n"/>
      <c r="G125" s="5" t="n"/>
      <c r="H125" s="5" t="n"/>
    </row>
    <row r="126">
      <c r="A126" s="2" t="inlineStr">
        <is>
          <t>C06-14</t>
        </is>
      </c>
      <c r="B126" s="2" t="inlineStr">
        <is>
          <t>c4-c06</t>
        </is>
      </c>
      <c r="C126" s="2" t="inlineStr">
        <is>
          <t>Are introverts worse leaders than extroverts?</t>
        </is>
      </c>
      <c r="D126" s="2" t="inlineStr">
        <is>
          <t>These are tendencies, not rules.</t>
        </is>
      </c>
      <c r="E126" s="2" t="inlineStr">
        <is>
          <t>Introverts can be excellent public speakers, and extroverts can be excellent listeners.</t>
        </is>
      </c>
      <c r="F126" s="5" t="n"/>
      <c r="G126" s="5" t="n"/>
      <c r="H126" s="5" t="n"/>
    </row>
    <row r="127">
      <c r="A127" s="2" t="inlineStr">
        <is>
          <t>C06-15</t>
        </is>
      </c>
      <c r="B127" s="2" t="inlineStr">
        <is>
          <t>c4-c06</t>
        </is>
      </c>
      <c r="C127" s="2" t="inlineStr">
        <is>
          <t>Are introverts worse leaders than extroverts?</t>
        </is>
      </c>
      <c r="D127" s="2" t="inlineStr">
        <is>
          <t>Introverts can be excellent public speakers, and extroverts can be excellent listeners.</t>
        </is>
      </c>
      <c r="E127" s="2" t="inlineStr">
        <is>
          <t>A 2011 study by Adam Grant and colleagues examined pizza-store managers and experimental teams.</t>
        </is>
      </c>
      <c r="F127" s="5" t="n"/>
      <c r="G127" s="5" t="n"/>
      <c r="H127" s="5" t="n"/>
    </row>
    <row r="128">
      <c r="A128" s="2" t="inlineStr">
        <is>
          <t>C06-16</t>
        </is>
      </c>
      <c r="B128" s="2" t="inlineStr">
        <is>
          <t>c4-c06</t>
        </is>
      </c>
      <c r="C128" s="2" t="inlineStr">
        <is>
          <t>Are introverts worse leaders than extroverts?</t>
        </is>
      </c>
      <c r="D128" s="2" t="inlineStr">
        <is>
          <t>A 2011 study by Adam Grant and colleagues examined pizza-store managers and experimental teams.</t>
        </is>
      </c>
      <c r="E128" s="2" t="inlineStr">
        <is>
          <t>It found that extroverted leaders tended to achieve better results with passive employees, while introverted leaders achieved better results with proactive employees.</t>
        </is>
      </c>
      <c r="F128" s="5" t="n"/>
      <c r="G128" s="5" t="n"/>
      <c r="H128" s="5" t="n"/>
    </row>
    <row r="129">
      <c r="A129" s="2" t="inlineStr">
        <is>
          <t>C06-17</t>
        </is>
      </c>
      <c r="B129" s="2" t="inlineStr">
        <is>
          <t>c4-c06</t>
        </is>
      </c>
      <c r="C129" s="2" t="inlineStr">
        <is>
          <t>Are introverts worse leaders than extroverts?</t>
        </is>
      </c>
      <c r="D129" s="2" t="inlineStr">
        <is>
          <t>It found that extroverted leaders tended to achieve better results with passive employees, while introverted leaders achieved better results with proactive employees.</t>
        </is>
      </c>
      <c r="E129" s="2" t="inlineStr">
        <is>
          <t>- Team A has employees who rarely offer ideas or take initiative.</t>
        </is>
      </c>
      <c r="F129" s="5" t="n"/>
      <c r="G129" s="5" t="n"/>
      <c r="H129" s="5" t="n"/>
    </row>
    <row r="130">
      <c r="A130" s="2" t="inlineStr">
        <is>
          <t>C06-18</t>
        </is>
      </c>
      <c r="B130" s="2" t="inlineStr">
        <is>
          <t>c4-c06</t>
        </is>
      </c>
      <c r="C130" s="2" t="inlineStr">
        <is>
          <t>Are introverts worse leaders than extroverts?</t>
        </is>
      </c>
      <c r="D130" s="2" t="inlineStr">
        <is>
          <t>- Team A has employees who rarely offer ideas or take initiative.</t>
        </is>
      </c>
      <c r="E130" s="2" t="inlineStr">
        <is>
          <t>An energetic, outgoing leader may be particularly helpful in providing direction and encouraging participation.</t>
        </is>
      </c>
      <c r="F130" s="5" t="n"/>
      <c r="G130" s="5" t="n"/>
      <c r="H130" s="5" t="n"/>
    </row>
    <row r="131">
      <c r="A131" s="2" t="inlineStr">
        <is>
          <t>C06-19</t>
        </is>
      </c>
      <c r="B131" s="2" t="inlineStr">
        <is>
          <t>c4-c06</t>
        </is>
      </c>
      <c r="C131" s="2" t="inlineStr">
        <is>
          <t>Are introverts worse leaders than extroverts?</t>
        </is>
      </c>
      <c r="D131" s="2" t="inlineStr">
        <is>
          <t>An energetic, outgoing leader may be particularly helpful in providing direction and encouraging participation.</t>
        </is>
      </c>
      <c r="E131" s="2" t="inlineStr">
        <is>
          <t>- Team B has employees who regularly propose ideas and solve problems independently.</t>
        </is>
      </c>
      <c r="F131" s="5" t="n"/>
      <c r="G131" s="5" t="n"/>
      <c r="H131" s="5" t="n"/>
    </row>
    <row r="132">
      <c r="A132" s="2" t="inlineStr">
        <is>
          <t>C06-20</t>
        </is>
      </c>
      <c r="B132" s="2" t="inlineStr">
        <is>
          <t>c4-c06</t>
        </is>
      </c>
      <c r="C132" s="2" t="inlineStr">
        <is>
          <t>Are introverts worse leaders than extroverts?</t>
        </is>
      </c>
      <c r="D132" s="2" t="inlineStr">
        <is>
          <t>- Team B has employees who regularly propose ideas and solve problems independently.</t>
        </is>
      </c>
      <c r="E132" s="2" t="inlineStr">
        <is>
          <t>A leader who listens and gives employees room to contribute may get better results.</t>
        </is>
      </c>
      <c r="F132" s="5" t="n"/>
      <c r="G132" s="5" t="n"/>
      <c r="H132" s="5" t="n"/>
    </row>
    <row r="133">
      <c r="A133" s="2" t="inlineStr">
        <is>
          <t>C06-21</t>
        </is>
      </c>
      <c r="B133" s="2" t="inlineStr">
        <is>
          <t>c4-c06</t>
        </is>
      </c>
      <c r="C133" s="2" t="inlineStr">
        <is>
          <t>Are introverts worse leaders than extroverts?</t>
        </is>
      </c>
      <c r="D133" s="2" t="inlineStr">
        <is>
          <t>A leader who listens and gives employees room to contribute may get better results.</t>
        </is>
      </c>
      <c r="E133" s="2" t="inlineStr">
        <is>
          <t>An introverted leader may be less inclined to dominate conversations, allowing proactive employees to contribute more.</t>
        </is>
      </c>
      <c r="F133" s="5" t="n"/>
      <c r="G133" s="5" t="n"/>
      <c r="H133" s="5" t="n"/>
    </row>
    <row r="134">
      <c r="A134" s="2" t="inlineStr">
        <is>
          <t>C06-22</t>
        </is>
      </c>
      <c r="B134" s="2" t="inlineStr">
        <is>
          <t>c4-c06</t>
        </is>
      </c>
      <c r="C134" s="2" t="inlineStr">
        <is>
          <t>Are introverts worse leaders than extroverts?</t>
        </is>
      </c>
      <c r="D134" s="2" t="inlineStr">
        <is>
          <t>An introverted leader may be less inclined to dominate conversations, allowing proactive employees to contribute more.</t>
        </is>
      </c>
      <c r="E134" s="2" t="inlineStr">
        <is>
          <t>The important lesson is that leadership effectiveness depends partly on how a leader interacts with the people they lead.</t>
        </is>
      </c>
      <c r="F134" s="5" t="n"/>
      <c r="G134" s="5" t="n"/>
      <c r="H134" s="5" t="n"/>
    </row>
    <row r="135">
      <c r="A135" s="2" t="inlineStr">
        <is>
          <t>C06-23</t>
        </is>
      </c>
      <c r="B135" s="2" t="inlineStr">
        <is>
          <t>c4-c06</t>
        </is>
      </c>
      <c r="C135" s="2" t="inlineStr">
        <is>
          <t>Are introverts worse leaders than extroverts?</t>
        </is>
      </c>
      <c r="D135" s="2" t="inlineStr">
        <is>
          <t>The important lesson is that leadership effectiveness depends partly on how a leader interacts with the people they lead.</t>
        </is>
      </c>
      <c r="E135" s="2" t="inlineStr">
        <is>
          <t>Leadership is not just about doing the job well; it is also about being recognized as someone capable of leading.</t>
        </is>
      </c>
      <c r="F135" s="5" t="n"/>
      <c r="G135" s="5" t="n"/>
      <c r="H135" s="5" t="n"/>
    </row>
    <row r="136">
      <c r="A136" s="2" t="inlineStr">
        <is>
          <t>C06-24</t>
        </is>
      </c>
      <c r="B136" s="2" t="inlineStr">
        <is>
          <t>c4-c06</t>
        </is>
      </c>
      <c r="C136" s="2" t="inlineStr">
        <is>
          <t>Are introverts worse leaders than extroverts?</t>
        </is>
      </c>
      <c r="D136" s="2" t="inlineStr">
        <is>
          <t>Leadership is not just about doing the job well; it is also about being recognized as someone capable of leading.</t>
        </is>
      </c>
      <c r="E136" s="2" t="inlineStr">
        <is>
          <t>Extroverts may speak more often in meetings, express confidence openly, and volunteer to lead group activities.</t>
        </is>
      </c>
      <c r="F136" s="5" t="n"/>
      <c r="G136" s="5" t="n"/>
      <c r="H136" s="5" t="n"/>
    </row>
    <row r="137">
      <c r="A137" s="2" t="inlineStr">
        <is>
          <t>C06-25</t>
        </is>
      </c>
      <c r="B137" s="2" t="inlineStr">
        <is>
          <t>c4-c06</t>
        </is>
      </c>
      <c r="C137" s="2" t="inlineStr">
        <is>
          <t>Are introverts worse leaders than extroverts?</t>
        </is>
      </c>
      <c r="D137" s="2" t="inlineStr">
        <is>
          <t>Extroverts may speak more often in meetings, express confidence openly, and volunteer to lead group activities.</t>
        </is>
      </c>
      <c r="E137" s="2" t="inlineStr">
        <is>
          <t>These behaviors can make them more visible to colleagues and managers.</t>
        </is>
      </c>
      <c r="F137" s="5" t="n"/>
      <c r="G137" s="5" t="n"/>
      <c r="H137" s="5" t="n"/>
    </row>
    <row r="138">
      <c r="A138" s="2" t="inlineStr">
        <is>
          <t>C06-26</t>
        </is>
      </c>
      <c r="B138" s="2" t="inlineStr">
        <is>
          <t>c4-c06</t>
        </is>
      </c>
      <c r="C138" s="2" t="inlineStr">
        <is>
          <t>Are introverts worse leaders than extroverts?</t>
        </is>
      </c>
      <c r="D138" s="2" t="inlineStr">
        <is>
          <t>These behaviors can make them more visible to colleagues and managers.</t>
        </is>
      </c>
      <c r="E138" s="2" t="inlineStr">
        <is>
          <t>A 2021 experiment involving 601 participants found that both introverts and extroverts were more likely to emerge as leaders when they displayed more extroverted behaviors during a group task.</t>
        </is>
      </c>
      <c r="F138" s="5" t="n"/>
      <c r="G138" s="5" t="n"/>
      <c r="H138" s="5" t="n"/>
    </row>
    <row r="139">
      <c r="A139" s="2" t="inlineStr">
        <is>
          <t>C06-27</t>
        </is>
      </c>
      <c r="B139" s="2" t="inlineStr">
        <is>
          <t>c4-c06</t>
        </is>
      </c>
      <c r="C139" s="2" t="inlineStr">
        <is>
          <t>Are introverts worse leaders than extroverts?</t>
        </is>
      </c>
      <c r="D139" s="2" t="inlineStr">
        <is>
          <t>A 2021 experiment involving 601 participants found that both introverts and extroverts were more likely to emerge as leaders when they displayed more extroverted behaviors during a group task.</t>
        </is>
      </c>
      <c r="E139" s="2" t="inlineStr">
        <is>
          <t>The two are related, but they are not the same.</t>
        </is>
      </c>
      <c r="F139" s="5" t="n"/>
      <c r="G139" s="5" t="n"/>
      <c r="H139" s="5" t="n"/>
    </row>
    <row r="140">
      <c r="A140" s="2" t="inlineStr">
        <is>
          <t>C06-28</t>
        </is>
      </c>
      <c r="B140" s="2" t="inlineStr">
        <is>
          <t>c4-c06</t>
        </is>
      </c>
      <c r="C140" s="2" t="inlineStr">
        <is>
          <t>Are introverts worse leaders than extroverts?</t>
        </is>
      </c>
      <c r="D140" s="2" t="inlineStr">
        <is>
          <t>The two are related, but they are not the same.</t>
        </is>
      </c>
      <c r="E140" s="2" t="inlineStr">
        <is>
          <t>The evidence does not support the idea that introverts are inherently worse leaders.</t>
        </is>
      </c>
      <c r="F140" s="5" t="n"/>
      <c r="G140" s="5" t="n"/>
      <c r="H140" s="5" t="n"/>
    </row>
    <row r="141">
      <c r="A141" s="2" t="inlineStr">
        <is>
          <t>C06-29</t>
        </is>
      </c>
      <c r="B141" s="2" t="inlineStr">
        <is>
          <t>c4-c06</t>
        </is>
      </c>
      <c r="C141" s="2" t="inlineStr">
        <is>
          <t>Are introverts worse leaders than extroverts?</t>
        </is>
      </c>
      <c r="D141" s="2" t="inlineStr">
        <is>
          <t>The evidence does not support the idea that introverts are inherently worse leaders.</t>
        </is>
      </c>
      <c r="E141" s="2" t="inlineStr">
        <is>
          <t>Extroversion can provide advantages in visibility, social influence, and certain leadership situations, but introverted approaches can also be effective, particularly when employees are proactive and need room to contribute.</t>
        </is>
      </c>
      <c r="F141" s="5" t="n"/>
      <c r="G141" s="5" t="n"/>
      <c r="H141" s="5" t="n"/>
    </row>
    <row r="142">
      <c r="A142" s="2" t="inlineStr">
        <is>
          <t>C06-30</t>
        </is>
      </c>
      <c r="B142" s="2" t="inlineStr">
        <is>
          <t>c4-c06</t>
        </is>
      </c>
      <c r="C142" s="2" t="inlineStr">
        <is>
          <t>Are introverts worse leaders than extroverts?</t>
        </is>
      </c>
      <c r="D142" s="2" t="inlineStr">
        <is>
          <t>Extroversion can provide advantages in visibility, social influence, and certain leadership situations, but introverted approaches can also be effective, particularly when employees are proactive and need room to contribute.</t>
        </is>
      </c>
      <c r="E142" s="2" t="inlineStr">
        <is>
          <t>Ultimately, good leadership depends on communication, sound judgment, accountability, adaptability, and the ability to help a team succeed—not simply on how talkative someone is.</t>
        </is>
      </c>
      <c r="F142" s="5" t="n"/>
      <c r="G142" s="5" t="n"/>
      <c r="H142" s="5" t="n"/>
    </row>
    <row r="143">
      <c r="A143" s="2" t="inlineStr">
        <is>
          <t>C06-31</t>
        </is>
      </c>
      <c r="B143" s="2" t="inlineStr">
        <is>
          <t>c4-c06</t>
        </is>
      </c>
      <c r="C143" s="2" t="inlineStr">
        <is>
          <t>Are introverts worse leaders than extroverts?</t>
        </is>
      </c>
      <c r="D143" s="2" t="inlineStr">
        <is>
          <t>Ultimately, good leadership depends on communication, sound judgment, accountability, adaptability, and the ability to help a team succeed—not simply on how talkative someone is.</t>
        </is>
      </c>
      <c r="E143" s="2" t="inlineStr">
        <is>
          <t>One final thought: The best leader isn't necessarily the loudest person in the room.</t>
        </is>
      </c>
      <c r="F143" s="5" t="n"/>
      <c r="G143" s="5" t="n"/>
      <c r="H143" s="5" t="n"/>
    </row>
    <row r="144">
      <c r="A144" s="2" t="inlineStr">
        <is>
          <t>C06-32</t>
        </is>
      </c>
      <c r="B144" s="2" t="inlineStr">
        <is>
          <t>c4-c06</t>
        </is>
      </c>
      <c r="C144" s="2" t="inlineStr">
        <is>
          <t>Are introverts worse leaders than extroverts?</t>
        </is>
      </c>
      <c r="D144" s="2" t="inlineStr">
        <is>
          <t>One final thought: The best leader isn't necessarily the loudest person in the room.</t>
        </is>
      </c>
      <c r="E144" s="2" t="inlineStr">
        <is>
          <t>It's the person who understands what the team needs and knows how to help its members perform at their best.</t>
        </is>
      </c>
      <c r="F144" s="5" t="n"/>
      <c r="G144" s="5" t="n"/>
      <c r="H144" s="5" t="n"/>
    </row>
    <row r="145">
      <c r="A145" s="2" t="inlineStr">
        <is>
          <t>C07-01</t>
        </is>
      </c>
      <c r="B145" s="2" t="inlineStr">
        <is>
          <t>c4-c07</t>
        </is>
      </c>
      <c r="C145" s="2" t="inlineStr">
        <is>
          <t>Is coffee bad for your health?</t>
        </is>
      </c>
      <c r="D145" s="2" t="inlineStr"/>
      <c r="E145" s="2" t="inlineStr">
        <is>
          <t>For most healthy adults, moderate coffee consumption is generally safe and may even offer health benefits.</t>
        </is>
      </c>
      <c r="F145" s="5" t="n"/>
      <c r="G145" s="5" t="n"/>
      <c r="H145" s="5" t="n"/>
    </row>
    <row r="146">
      <c r="A146" s="2" t="inlineStr">
        <is>
          <t>C07-02</t>
        </is>
      </c>
      <c r="B146" s="2" t="inlineStr">
        <is>
          <t>c4-c07</t>
        </is>
      </c>
      <c r="C146" s="2" t="inlineStr">
        <is>
          <t>Is coffee bad for your health?</t>
        </is>
      </c>
      <c r="D146" s="2" t="inlineStr">
        <is>
          <t>For most healthy adults, moderate coffee consumption is generally safe and may even offer health benefits.</t>
        </is>
      </c>
      <c r="E146" s="2" t="inlineStr">
        <is>
          <t>Coffee isn't automatically bad for you.</t>
        </is>
      </c>
      <c r="F146" s="5" t="n"/>
      <c r="G146" s="5" t="n"/>
      <c r="H146" s="5" t="n"/>
    </row>
    <row r="147">
      <c r="A147" s="2" t="inlineStr">
        <is>
          <t>C07-03</t>
        </is>
      </c>
      <c r="B147" s="2" t="inlineStr">
        <is>
          <t>c4-c07</t>
        </is>
      </c>
      <c r="C147" s="2" t="inlineStr">
        <is>
          <t>Is coffee bad for your health?</t>
        </is>
      </c>
      <c r="D147" s="2" t="inlineStr">
        <is>
          <t>Coffee isn't automatically bad for you.</t>
        </is>
      </c>
      <c r="E147" s="2" t="inlineStr">
        <is>
          <t>The amount you drink, how you prepare it, what you add to it, and how your body responds all matter.</t>
        </is>
      </c>
      <c r="F147" s="5" t="n"/>
      <c r="G147" s="5" t="n"/>
      <c r="H147" s="5" t="n"/>
    </row>
    <row r="148">
      <c r="A148" s="2" t="inlineStr">
        <is>
          <t>C07-04</t>
        </is>
      </c>
      <c r="B148" s="2" t="inlineStr">
        <is>
          <t>c4-c07</t>
        </is>
      </c>
      <c r="C148" s="2" t="inlineStr">
        <is>
          <t>Is coffee bad for your health?</t>
        </is>
      </c>
      <c r="D148" s="2" t="inlineStr">
        <is>
          <t>The amount you drink, how you prepare it, what you add to it, and how your body responds all matter.</t>
        </is>
      </c>
      <c r="E148" s="2" t="inlineStr">
        <is>
          <t>The U.S. Food and Drug Administration (FDA) cites 400 milligrams of caffeine per day as an amount not generally associated with negative effects for most adults.</t>
        </is>
      </c>
      <c r="F148" s="5" t="n"/>
      <c r="G148" s="5" t="n"/>
      <c r="H148" s="5" t="n"/>
    </row>
    <row r="149">
      <c r="A149" s="2" t="inlineStr">
        <is>
          <t>C07-05</t>
        </is>
      </c>
      <c r="B149" s="2" t="inlineStr">
        <is>
          <t>c4-c07</t>
        </is>
      </c>
      <c r="C149" s="2" t="inlineStr">
        <is>
          <t>Is coffee bad for your health?</t>
        </is>
      </c>
      <c r="D149" s="2" t="inlineStr">
        <is>
          <t>The U.S. Food and Drug Administration (FDA) cites 400 milligrams of caffeine per day as an amount not generally associated with negative effects for most adults.</t>
        </is>
      </c>
      <c r="E149" s="2" t="inlineStr">
        <is>
          <t>That's roughly two to three 12-ounce cups of coffee, although caffeine content varies considerably.</t>
        </is>
      </c>
      <c r="F149" s="5" t="n"/>
      <c r="G149" s="5" t="n"/>
      <c r="H149" s="5" t="n"/>
    </row>
    <row r="150">
      <c r="A150" s="2" t="inlineStr">
        <is>
          <t>C07-06</t>
        </is>
      </c>
      <c r="B150" s="2" t="inlineStr">
        <is>
          <t>c4-c07</t>
        </is>
      </c>
      <c r="C150" s="2" t="inlineStr">
        <is>
          <t>Is coffee bad for your health?</t>
        </is>
      </c>
      <c r="D150" s="2" t="inlineStr">
        <is>
          <t>That's roughly two to three 12-ounce cups of coffee, although caffeine content varies considerably.</t>
        </is>
      </c>
      <c r="E150" s="2" t="inlineStr">
        <is>
          <t>Caffeine stimulates the central nervous system, helping you feel more awake and temporarily improving attention.</t>
        </is>
      </c>
      <c r="F150" s="5" t="n"/>
      <c r="G150" s="5" t="n"/>
      <c r="H150" s="5" t="n"/>
    </row>
    <row r="151">
      <c r="A151" s="2" t="inlineStr">
        <is>
          <t>C07-07</t>
        </is>
      </c>
      <c r="B151" s="2" t="inlineStr">
        <is>
          <t>c4-c07</t>
        </is>
      </c>
      <c r="C151" s="2" t="inlineStr">
        <is>
          <t>Is coffee bad for your health?</t>
        </is>
      </c>
      <c r="D151" s="2" t="inlineStr">
        <is>
          <t>Caffeine stimulates the central nervous system, helping you feel more awake and temporarily improving attention.</t>
        </is>
      </c>
      <c r="E151" s="2" t="inlineStr">
        <is>
          <t>This can be useful when studying or working.</t>
        </is>
      </c>
      <c r="F151" s="5" t="n"/>
      <c r="G151" s="5" t="n"/>
      <c r="H151" s="5" t="n"/>
    </row>
    <row r="152">
      <c r="A152" s="2" t="inlineStr">
        <is>
          <t>C07-08</t>
        </is>
      </c>
      <c r="B152" s="2" t="inlineStr">
        <is>
          <t>c4-c07</t>
        </is>
      </c>
      <c r="C152" s="2" t="inlineStr">
        <is>
          <t>Is coffee bad for your health?</t>
        </is>
      </c>
      <c r="D152" s="2" t="inlineStr">
        <is>
          <t>This can be useful when studying or working.</t>
        </is>
      </c>
      <c r="E152" s="2" t="inlineStr">
        <is>
          <t>Regular coffee consumption has been associated with lower risks of type 2 diabetes, certain liver diseases, and some cardiovascular conditions.</t>
        </is>
      </c>
      <c r="F152" s="5" t="n"/>
      <c r="G152" s="5" t="n"/>
      <c r="H152" s="5" t="n"/>
    </row>
    <row r="153">
      <c r="A153" s="2" t="inlineStr">
        <is>
          <t>C07-09</t>
        </is>
      </c>
      <c r="B153" s="2" t="inlineStr">
        <is>
          <t>c4-c07</t>
        </is>
      </c>
      <c r="C153" s="2" t="inlineStr">
        <is>
          <t>Is coffee bad for your health?</t>
        </is>
      </c>
      <c r="D153" s="2" t="inlineStr">
        <is>
          <t>Regular coffee consumption has been associated with lower risks of type 2 diabetes, certain liver diseases, and some cardiovascular conditions.</t>
        </is>
      </c>
      <c r="E153" s="2" t="inlineStr">
        <is>
          <t>However, many of these findings come from observational studies, so they don't prove coffee directly causes those benefits.</t>
        </is>
      </c>
      <c r="F153" s="5" t="n"/>
      <c r="G153" s="5" t="n"/>
      <c r="H153" s="5" t="n"/>
    </row>
    <row r="154">
      <c r="A154" s="2" t="inlineStr">
        <is>
          <t>C07-10</t>
        </is>
      </c>
      <c r="B154" s="2" t="inlineStr">
        <is>
          <t>c4-c07</t>
        </is>
      </c>
      <c r="C154" s="2" t="inlineStr">
        <is>
          <t>Is coffee bad for your health?</t>
        </is>
      </c>
      <c r="D154" s="2" t="inlineStr">
        <is>
          <t>However, many of these findings come from observational studies, so they don't prove coffee directly causes those benefits.</t>
        </is>
      </c>
      <c r="E154" s="2" t="inlineStr">
        <is>
          <t>- Sleep problems: Drinking coffee too late in the day can make it harder to fall asleep or reduce sleep quality.</t>
        </is>
      </c>
      <c r="F154" s="5" t="n"/>
      <c r="G154" s="5" t="n"/>
      <c r="H154" s="5" t="n"/>
    </row>
    <row r="155">
      <c r="A155" s="2" t="inlineStr">
        <is>
          <t>C07-11</t>
        </is>
      </c>
      <c r="B155" s="2" t="inlineStr">
        <is>
          <t>c4-c07</t>
        </is>
      </c>
      <c r="C155" s="2" t="inlineStr">
        <is>
          <t>Is coffee bad for your health?</t>
        </is>
      </c>
      <c r="D155" s="2" t="inlineStr">
        <is>
          <t>- Sleep problems: Drinking coffee too late in the day can make it harder to fall asleep or reduce sleep quality.</t>
        </is>
      </c>
      <c r="E155" s="2" t="inlineStr">
        <is>
          <t>- Anxiety and jitters: Caffeine can cause nervousness, restlessness, and a racing heartbeat, particularly in sensitive people.</t>
        </is>
      </c>
      <c r="F155" s="5" t="n"/>
      <c r="G155" s="5" t="n"/>
      <c r="H155" s="5" t="n"/>
    </row>
    <row r="156">
      <c r="A156" s="2" t="inlineStr">
        <is>
          <t>C07-12</t>
        </is>
      </c>
      <c r="B156" s="2" t="inlineStr">
        <is>
          <t>c4-c07</t>
        </is>
      </c>
      <c r="C156" s="2" t="inlineStr">
        <is>
          <t>Is coffee bad for your health?</t>
        </is>
      </c>
      <c r="D156" s="2" t="inlineStr">
        <is>
          <t>- Anxiety and jitters: Caffeine can cause nervousness, restlessness, and a racing heartbeat, particularly in sensitive people.</t>
        </is>
      </c>
      <c r="E156" s="2" t="inlineStr">
        <is>
          <t>- Blood pressure: Caffeine can temporarily raise blood pressure, especially in people who are sensitive to it.</t>
        </is>
      </c>
      <c r="F156" s="5" t="n"/>
      <c r="G156" s="5" t="n"/>
      <c r="H156" s="5" t="n"/>
    </row>
    <row r="157">
      <c r="A157" s="2" t="inlineStr">
        <is>
          <t>C07-13</t>
        </is>
      </c>
      <c r="B157" s="2" t="inlineStr">
        <is>
          <t>c4-c07</t>
        </is>
      </c>
      <c r="C157" s="2" t="inlineStr">
        <is>
          <t>Is coffee bad for your health?</t>
        </is>
      </c>
      <c r="D157" s="2" t="inlineStr">
        <is>
          <t>- Blood pressure: Caffeine can temporarily raise blood pressure, especially in people who are sensitive to it.</t>
        </is>
      </c>
      <c r="E157" s="2" t="inlineStr">
        <is>
          <t>- Cholesterol: Unfiltered coffee, such as French press or boiled coffee, contains compounds that can raise LDL (bad) cholesterol.</t>
        </is>
      </c>
      <c r="F157" s="5" t="n"/>
      <c r="G157" s="5" t="n"/>
      <c r="H157" s="5" t="n"/>
    </row>
    <row r="158">
      <c r="A158" s="2" t="inlineStr">
        <is>
          <t>C07-14</t>
        </is>
      </c>
      <c r="B158" s="2" t="inlineStr">
        <is>
          <t>c4-c07</t>
        </is>
      </c>
      <c r="C158" s="2" t="inlineStr">
        <is>
          <t>Is coffee bad for your health?</t>
        </is>
      </c>
      <c r="D158" s="2" t="inlineStr">
        <is>
          <t>- Cholesterol: Unfiltered coffee, such as French press or boiled coffee, contains compounds that can raise LDL (bad) cholesterol.</t>
        </is>
      </c>
      <c r="E158" s="2" t="inlineStr">
        <is>
          <t>Paper-filtered coffee removes most of these compounds.</t>
        </is>
      </c>
      <c r="F158" s="5" t="n"/>
      <c r="G158" s="5" t="n"/>
      <c r="H158" s="5" t="n"/>
    </row>
    <row r="159">
      <c r="A159" s="2" t="inlineStr">
        <is>
          <t>C07-15</t>
        </is>
      </c>
      <c r="B159" s="2" t="inlineStr">
        <is>
          <t>c4-c07</t>
        </is>
      </c>
      <c r="C159" s="2" t="inlineStr">
        <is>
          <t>Is coffee bad for your health?</t>
        </is>
      </c>
      <c r="D159" s="2" t="inlineStr">
        <is>
          <t>Paper-filtered coffee removes most of these compounds.</t>
        </is>
      </c>
      <c r="E159" s="2" t="inlineStr">
        <is>
          <t>From all sources combined, including coffee, tea, energy drinks, and supplements.</t>
        </is>
      </c>
      <c r="F159" s="5" t="n"/>
      <c r="G159" s="5" t="n"/>
      <c r="H159" s="5" t="n"/>
    </row>
    <row r="160">
      <c r="A160" s="2" t="inlineStr">
        <is>
          <t>C07-16</t>
        </is>
      </c>
      <c r="B160" s="2" t="inlineStr">
        <is>
          <t>c4-c07</t>
        </is>
      </c>
      <c r="C160" s="2" t="inlineStr">
        <is>
          <t>Is coffee bad for your health?</t>
        </is>
      </c>
      <c r="D160" s="2" t="inlineStr">
        <is>
          <t>From all sources combined, including coffee, tea, energy drinks, and supplements.</t>
        </is>
      </c>
      <c r="E160" s="2" t="inlineStr">
        <is>
          <t>This is a general upper guideline, not a target.</t>
        </is>
      </c>
      <c r="F160" s="5" t="n"/>
      <c r="G160" s="5" t="n"/>
      <c r="H160" s="5" t="n"/>
    </row>
    <row r="161">
      <c r="A161" s="2" t="inlineStr">
        <is>
          <t>C07-17</t>
        </is>
      </c>
      <c r="B161" s="2" t="inlineStr">
        <is>
          <t>c4-c07</t>
        </is>
      </c>
      <c r="C161" s="2" t="inlineStr">
        <is>
          <t>Is coffee bad for your health?</t>
        </is>
      </c>
      <c r="D161" s="2" t="inlineStr">
        <is>
          <t>This is a general upper guideline, not a target.</t>
        </is>
      </c>
      <c r="E161" s="2" t="inlineStr">
        <is>
          <t>You may need less if caffeine affects your sleep, anxiety, or blood pressure.</t>
        </is>
      </c>
      <c r="F161" s="5" t="n"/>
      <c r="G161" s="5" t="n"/>
      <c r="H161" s="5" t="n"/>
    </row>
    <row r="162">
      <c r="A162" s="2" t="inlineStr">
        <is>
          <t>C07-18</t>
        </is>
      </c>
      <c r="B162" s="2" t="inlineStr">
        <is>
          <t>c4-c07</t>
        </is>
      </c>
      <c r="C162" s="2" t="inlineStr">
        <is>
          <t>Is coffee bad for your health?</t>
        </is>
      </c>
      <c r="D162" s="2" t="inlineStr">
        <is>
          <t>You may need less if caffeine affects your sleep, anxiety, or blood pressure.</t>
        </is>
      </c>
      <c r="E162" s="2" t="inlineStr">
        <is>
          <t>Pregnant people are generally advised to limit caffeine to 200 mg per day.</t>
        </is>
      </c>
      <c r="F162" s="5" t="n"/>
      <c r="G162" s="5" t="n"/>
      <c r="H162" s="5" t="n"/>
    </row>
    <row r="163">
      <c r="A163" s="2" t="inlineStr">
        <is>
          <t>C07-19</t>
        </is>
      </c>
      <c r="B163" s="2" t="inlineStr">
        <is>
          <t>c4-c07</t>
        </is>
      </c>
      <c r="C163" s="2" t="inlineStr">
        <is>
          <t>Is coffee bad for your health?</t>
        </is>
      </c>
      <c r="D163" s="2" t="inlineStr">
        <is>
          <t>Pregnant people are generally advised to limit caffeine to 200 mg per day.</t>
        </is>
      </c>
      <c r="E163" s="2" t="inlineStr">
        <is>
          <t>Generally, black coffee is the simpler choice because it contains very few calories and no added sugar.</t>
        </is>
      </c>
      <c r="F163" s="5" t="n"/>
      <c r="G163" s="5" t="n"/>
      <c r="H163" s="5" t="n"/>
    </row>
    <row r="164">
      <c r="A164" s="2" t="inlineStr">
        <is>
          <t>C07-20</t>
        </is>
      </c>
      <c r="B164" s="2" t="inlineStr">
        <is>
          <t>c4-c07</t>
        </is>
      </c>
      <c r="C164" s="2" t="inlineStr">
        <is>
          <t>Is coffee bad for your health?</t>
        </is>
      </c>
      <c r="D164" s="2" t="inlineStr">
        <is>
          <t>Generally, black coffee is the simpler choice because it contains very few calories and no added sugar.</t>
        </is>
      </c>
      <c r="E164" s="2" t="inlineStr">
        <is>
          <t>Adding large amounts of sugar, flavored syrup, or cream can significantly increase its calorie and saturated-fat content.</t>
        </is>
      </c>
      <c r="F164" s="5" t="n"/>
      <c r="G164" s="5" t="n"/>
      <c r="H164" s="5" t="n"/>
    </row>
    <row r="165">
      <c r="A165" s="2" t="inlineStr">
        <is>
          <t>C07-21</t>
        </is>
      </c>
      <c r="B165" s="2" t="inlineStr">
        <is>
          <t>c4-c07</t>
        </is>
      </c>
      <c r="C165" s="2" t="inlineStr">
        <is>
          <t>Is coffee bad for your health?</t>
        </is>
      </c>
      <c r="D165" s="2" t="inlineStr">
        <is>
          <t>Adding large amounts of sugar, flavored syrup, or cream can significantly increase its calorie and saturated-fat content.</t>
        </is>
      </c>
      <c r="E165" s="2" t="inlineStr">
        <is>
          <t>That doesn't mean you must drink it black.</t>
        </is>
      </c>
      <c r="F165" s="5" t="n"/>
      <c r="G165" s="5" t="n"/>
      <c r="H165" s="5" t="n"/>
    </row>
    <row r="166">
      <c r="A166" s="2" t="inlineStr">
        <is>
          <t>C07-22</t>
        </is>
      </c>
      <c r="B166" s="2" t="inlineStr">
        <is>
          <t>c4-c07</t>
        </is>
      </c>
      <c r="C166" s="2" t="inlineStr">
        <is>
          <t>Is coffee bad for your health?</t>
        </is>
      </c>
      <c r="D166" s="2" t="inlineStr">
        <is>
          <t>That doesn't mean you must drink it black.</t>
        </is>
      </c>
      <c r="E166" s="2" t="inlineStr">
        <is>
          <t>A little milk or sugar can fit into a balanced diet.</t>
        </is>
      </c>
      <c r="F166" s="5" t="n"/>
      <c r="G166" s="5" t="n"/>
      <c r="H166" s="5" t="n"/>
    </row>
    <row r="167">
      <c r="A167" s="2" t="inlineStr">
        <is>
          <t>C07-23</t>
        </is>
      </c>
      <c r="B167" s="2" t="inlineStr">
        <is>
          <t>c4-c07</t>
        </is>
      </c>
      <c r="C167" s="2" t="inlineStr">
        <is>
          <t>Is coffee bad for your health?</t>
        </is>
      </c>
      <c r="D167" s="2" t="inlineStr">
        <is>
          <t>A little milk or sugar can fit into a balanced diet.</t>
        </is>
      </c>
      <c r="E167" s="2" t="inlineStr">
        <is>
          <t>Coffee is generally more beneficial than harmful for most healthy adults when consumed in moderation.</t>
        </is>
      </c>
      <c r="F167" s="5" t="n"/>
      <c r="G167" s="5" t="n"/>
      <c r="H167" s="5" t="n"/>
    </row>
    <row r="168">
      <c r="A168" s="2" t="inlineStr">
        <is>
          <t>C07-24</t>
        </is>
      </c>
      <c r="B168" s="2" t="inlineStr">
        <is>
          <t>c4-c07</t>
        </is>
      </c>
      <c r="C168" s="2" t="inlineStr">
        <is>
          <t>Is coffee bad for your health?</t>
        </is>
      </c>
      <c r="D168" s="2" t="inlineStr">
        <is>
          <t>Coffee is generally more beneficial than harmful for most healthy adults when consumed in moderation.</t>
        </is>
      </c>
      <c r="E168" s="2" t="inlineStr">
        <is>
          <t>You don't need to start drinking it for health benefits, though, and drinking more isn't necessarily better.</t>
        </is>
      </c>
      <c r="F168" s="5" t="n"/>
      <c r="G168" s="5" t="n"/>
      <c r="H168" s="5" t="n"/>
    </row>
    <row r="169">
      <c r="A169" s="2" t="inlineStr">
        <is>
          <t>C07-25</t>
        </is>
      </c>
      <c r="B169" s="2" t="inlineStr">
        <is>
          <t>c4-c07</t>
        </is>
      </c>
      <c r="C169" s="2" t="inlineStr">
        <is>
          <t>Is coffee bad for your health?</t>
        </is>
      </c>
      <c r="D169" s="2" t="inlineStr">
        <is>
          <t>You don't need to start drinking it for health benefits, though, and drinking more isn't necessarily better.</t>
        </is>
      </c>
      <c r="E169" s="2" t="inlineStr">
        <is>
          <t>My practical advice: enjoy coffee if you like it, pay attention to how it affects your body, and avoid sacrificing sleep just to get another caffeine boost.</t>
        </is>
      </c>
      <c r="F169" s="5" t="n"/>
      <c r="G169" s="5" t="n"/>
      <c r="H169" s="5" t="n"/>
    </row>
    <row r="170">
      <c r="A170" s="2" t="inlineStr">
        <is>
          <t>C08-01</t>
        </is>
      </c>
      <c r="B170" s="2" t="inlineStr">
        <is>
          <t>c4-c08</t>
        </is>
      </c>
      <c r="C170" s="2" t="inlineStr">
        <is>
          <t>Do we only use 10% of our brains?</t>
        </is>
      </c>
      <c r="D170" s="2" t="inlineStr"/>
      <c r="E170" s="2" t="inlineStr">
        <is>
          <t>This is a myth.</t>
        </is>
      </c>
      <c r="F170" s="5" t="n"/>
      <c r="G170" s="5" t="n"/>
      <c r="H170" s="5" t="n"/>
    </row>
    <row r="171">
      <c r="A171" s="2" t="inlineStr">
        <is>
          <t>C08-02</t>
        </is>
      </c>
      <c r="B171" s="2" t="inlineStr">
        <is>
          <t>c4-c08</t>
        </is>
      </c>
      <c r="C171" s="2" t="inlineStr">
        <is>
          <t>Do we only use 10% of our brains?</t>
        </is>
      </c>
      <c r="D171" s="2" t="inlineStr">
        <is>
          <t>This is a myth.</t>
        </is>
      </c>
      <c r="E171" s="2" t="inlineStr">
        <is>
          <t>We use virtually all parts of our brain, although not every part is equally active at every moment.</t>
        </is>
      </c>
      <c r="F171" s="5" t="n"/>
      <c r="G171" s="5" t="n"/>
      <c r="H171" s="5" t="n"/>
    </row>
    <row r="172">
      <c r="A172" s="2" t="inlineStr">
        <is>
          <t>C08-03</t>
        </is>
      </c>
      <c r="B172" s="2" t="inlineStr">
        <is>
          <t>c4-c08</t>
        </is>
      </c>
      <c r="C172" s="2" t="inlineStr">
        <is>
          <t>Do we only use 10% of our brains?</t>
        </is>
      </c>
      <c r="D172" s="2" t="inlineStr">
        <is>
          <t>We use virtually all parts of our brain, although not every part is equally active at every moment.</t>
        </is>
      </c>
      <c r="E172" s="2" t="inlineStr">
        <is>
          <t>The idea that humans use only 10% of their brains is a popular misconception.</t>
        </is>
      </c>
      <c r="F172" s="5" t="n"/>
      <c r="G172" s="5" t="n"/>
      <c r="H172" s="5" t="n"/>
    </row>
    <row r="173">
      <c r="A173" s="2" t="inlineStr">
        <is>
          <t>C08-04</t>
        </is>
      </c>
      <c r="B173" s="2" t="inlineStr">
        <is>
          <t>c4-c08</t>
        </is>
      </c>
      <c r="C173" s="2" t="inlineStr">
        <is>
          <t>Do we only use 10% of our brains?</t>
        </is>
      </c>
      <c r="D173" s="2" t="inlineStr">
        <is>
          <t>The idea that humans use only 10% of their brains is a popular misconception.</t>
        </is>
      </c>
      <c r="E173" s="2" t="inlineStr">
        <is>
          <t>Brain imaging, neurological research, and studies of brain injuries all show that different regions have important functions, from controlling movement and processing language to regulating emotions and forming memories.</t>
        </is>
      </c>
      <c r="F173" s="5" t="n"/>
      <c r="G173" s="5" t="n"/>
      <c r="H173" s="5" t="n"/>
    </row>
    <row r="174">
      <c r="A174" s="2" t="inlineStr">
        <is>
          <t>C08-05</t>
        </is>
      </c>
      <c r="B174" s="2" t="inlineStr">
        <is>
          <t>c4-c08</t>
        </is>
      </c>
      <c r="C174" s="2" t="inlineStr">
        <is>
          <t>Do we only use 10% of our brains?</t>
        </is>
      </c>
      <c r="D174" s="2" t="inlineStr">
        <is>
          <t>Brain imaging, neurological research, and studies of brain injuries all show that different regions have important functions, from controlling movement and processing language to regulating emotions and forming memories.</t>
        </is>
      </c>
      <c r="E174" s="2" t="inlineStr">
        <is>
          <t>There isn't one definitively established origin, but the myth has been linked to misinterpretations of early psychological research and claims about untapped human potential.</t>
        </is>
      </c>
      <c r="F174" s="5" t="n"/>
      <c r="G174" s="5" t="n"/>
      <c r="H174" s="5" t="n"/>
    </row>
    <row r="175">
      <c r="A175" s="2" t="inlineStr">
        <is>
          <t>C08-06</t>
        </is>
      </c>
      <c r="B175" s="2" t="inlineStr">
        <is>
          <t>c4-c08</t>
        </is>
      </c>
      <c r="C175" s="2" t="inlineStr">
        <is>
          <t>Do we only use 10% of our brains?</t>
        </is>
      </c>
      <c r="D175" s="2" t="inlineStr">
        <is>
          <t>There isn't one definitively established origin, but the myth has been linked to misinterpretations of early psychological research and claims about untapped human potential.</t>
        </is>
      </c>
      <c r="E175" s="2" t="inlineStr">
        <is>
          <t>The idea became popular because it sounds appealing: imagine how much smarter or more capable we could become if we unlocked the other 90%!</t>
        </is>
      </c>
      <c r="F175" s="5" t="n"/>
      <c r="G175" s="5" t="n"/>
      <c r="H175" s="5" t="n"/>
    </row>
    <row r="176">
      <c r="A176" s="2" t="inlineStr">
        <is>
          <t>C08-07</t>
        </is>
      </c>
      <c r="B176" s="2" t="inlineStr">
        <is>
          <t>c4-c08</t>
        </is>
      </c>
      <c r="C176" s="2" t="inlineStr">
        <is>
          <t>Do we only use 10% of our brains?</t>
        </is>
      </c>
      <c r="D176" s="2" t="inlineStr">
        <is>
          <t>The idea became popular because it sounds appealing: imagine how much smarter or more capable we could become if we unlocked the other 90%!</t>
        </is>
      </c>
      <c r="E176" s="2" t="inlineStr">
        <is>
          <t>But unused brain capacity isn't the same as untapped potential.</t>
        </is>
      </c>
      <c r="F176" s="5" t="n"/>
      <c r="G176" s="5" t="n"/>
      <c r="H176" s="5" t="n"/>
    </row>
    <row r="177">
      <c r="A177" s="2" t="inlineStr">
        <is>
          <t>C08-08</t>
        </is>
      </c>
      <c r="B177" s="2" t="inlineStr">
        <is>
          <t>c4-c08</t>
        </is>
      </c>
      <c r="C177" s="2" t="inlineStr">
        <is>
          <t>Do we only use 10% of our brains?</t>
        </is>
      </c>
      <c r="D177" s="2" t="inlineStr">
        <is>
          <t>But unused brain capacity isn't the same as untapped potential.</t>
        </is>
      </c>
      <c r="E177" s="2" t="inlineStr">
        <is>
          <t>Your brain can improve through learning and practice without having large sections sitting idle.</t>
        </is>
      </c>
      <c r="F177" s="5" t="n"/>
      <c r="G177" s="5" t="n"/>
      <c r="H177" s="5" t="n"/>
    </row>
    <row r="178">
      <c r="A178" s="2" t="inlineStr">
        <is>
          <t>C08-09</t>
        </is>
      </c>
      <c r="B178" s="2" t="inlineStr">
        <is>
          <t>c4-c08</t>
        </is>
      </c>
      <c r="C178" s="2" t="inlineStr">
        <is>
          <t>Do we only use 10% of our brains?</t>
        </is>
      </c>
      <c r="D178" s="2" t="inlineStr">
        <is>
          <t>Your brain can improve through learning and practice without having large sections sitting idle.</t>
        </is>
      </c>
      <c r="E178" s="2" t="inlineStr">
        <is>
          <t>Techniques such as functional MRI show activity across different brain regions as people think, speak, move, sleep, and perform other tasks.</t>
        </is>
      </c>
      <c r="F178" s="5" t="n"/>
      <c r="G178" s="5" t="n"/>
      <c r="H178" s="5" t="n"/>
    </row>
    <row r="179">
      <c r="A179" s="2" t="inlineStr">
        <is>
          <t>C08-10</t>
        </is>
      </c>
      <c r="B179" s="2" t="inlineStr">
        <is>
          <t>c4-c08</t>
        </is>
      </c>
      <c r="C179" s="2" t="inlineStr">
        <is>
          <t>Do we only use 10% of our brains?</t>
        </is>
      </c>
      <c r="D179" s="2" t="inlineStr">
        <is>
          <t>Techniques such as functional MRI show activity across different brain regions as people think, speak, move, sleep, and perform other tasks.</t>
        </is>
      </c>
      <c r="E179" s="2" t="inlineStr">
        <is>
          <t>Brain areas specialize in functions such as vision, hearing, movement, memory, and language.</t>
        </is>
      </c>
      <c r="F179" s="5" t="n"/>
      <c r="G179" s="5" t="n"/>
      <c r="H179" s="5" t="n"/>
    </row>
    <row r="180">
      <c r="A180" s="2" t="inlineStr">
        <is>
          <t>C08-11</t>
        </is>
      </c>
      <c r="B180" s="2" t="inlineStr">
        <is>
          <t>c4-c08</t>
        </is>
      </c>
      <c r="C180" s="2" t="inlineStr">
        <is>
          <t>Do we only use 10% of our brains?</t>
        </is>
      </c>
      <c r="D180" s="2" t="inlineStr">
        <is>
          <t>Brain areas specialize in functions such as vision, hearing, movement, memory, and language.</t>
        </is>
      </c>
      <c r="E180" s="2" t="inlineStr">
        <is>
          <t>Damage to even a relatively small region can cause specific difficulties.</t>
        </is>
      </c>
      <c r="F180" s="5" t="n"/>
      <c r="G180" s="5" t="n"/>
      <c r="H180" s="5" t="n"/>
    </row>
    <row r="181">
      <c r="A181" s="2" t="inlineStr">
        <is>
          <t>C08-12</t>
        </is>
      </c>
      <c r="B181" s="2" t="inlineStr">
        <is>
          <t>c4-c08</t>
        </is>
      </c>
      <c r="C181" s="2" t="inlineStr">
        <is>
          <t>Do we only use 10% of our brains?</t>
        </is>
      </c>
      <c r="D181" s="2" t="inlineStr">
        <is>
          <t>Damage to even a relatively small region can cause specific difficulties.</t>
        </is>
      </c>
      <c r="E181" s="2" t="inlineStr">
        <is>
          <t>Although the brain accounts for only about 2% of an adult's body weight, it uses roughly 20% of the body's energy at rest.</t>
        </is>
      </c>
      <c r="F181" s="5" t="n"/>
      <c r="G181" s="5" t="n"/>
      <c r="H181" s="5" t="n"/>
    </row>
    <row r="182">
      <c r="A182" s="2" t="inlineStr">
        <is>
          <t>C08-13</t>
        </is>
      </c>
      <c r="B182" s="2" t="inlineStr">
        <is>
          <t>c4-c08</t>
        </is>
      </c>
      <c r="C182" s="2" t="inlineStr">
        <is>
          <t>Do we only use 10% of our brains?</t>
        </is>
      </c>
      <c r="D182" s="2" t="inlineStr">
        <is>
          <t>Although the brain accounts for only about 2% of an adult's body weight, it uses roughly 20% of the body's energy at rest.</t>
        </is>
      </c>
      <c r="E182" s="2" t="inlineStr">
        <is>
          <t>That energy supports ongoing communication and maintenance throughout the brain.</t>
        </is>
      </c>
      <c r="F182" s="5" t="n"/>
      <c r="G182" s="5" t="n"/>
      <c r="H182" s="5" t="n"/>
    </row>
    <row r="183">
      <c r="A183" s="2" t="inlineStr">
        <is>
          <t>C08-14</t>
        </is>
      </c>
      <c r="B183" s="2" t="inlineStr">
        <is>
          <t>c4-c08</t>
        </is>
      </c>
      <c r="C183" s="2" t="inlineStr">
        <is>
          <t>Do we only use 10% of our brains?</t>
        </is>
      </c>
      <c r="D183" s="2" t="inlineStr">
        <is>
          <t>That energy supports ongoing communication and maintenance throughout the brain.</t>
        </is>
      </c>
      <c r="E183" s="2" t="inlineStr">
        <is>
          <t>No. That's the important distinction.</t>
        </is>
      </c>
      <c r="F183" s="5" t="n"/>
      <c r="G183" s="5" t="n"/>
      <c r="H183" s="5" t="n"/>
    </row>
    <row r="184">
      <c r="A184" s="2" t="inlineStr">
        <is>
          <t>C08-15</t>
        </is>
      </c>
      <c r="B184" s="2" t="inlineStr">
        <is>
          <t>c4-c08</t>
        </is>
      </c>
      <c r="C184" s="2" t="inlineStr">
        <is>
          <t>Do we only use 10% of our brains?</t>
        </is>
      </c>
      <c r="D184" s="2" t="inlineStr">
        <is>
          <t>No. That's the important distinction.</t>
        </is>
      </c>
      <c r="E184" s="2" t="inlineStr">
        <is>
          <t>- We use all major brain regions over time.</t>
        </is>
      </c>
      <c r="F184" s="5" t="n"/>
      <c r="G184" s="5" t="n"/>
      <c r="H184" s="5" t="n"/>
    </row>
    <row r="185">
      <c r="A185" s="2" t="inlineStr">
        <is>
          <t>C08-16</t>
        </is>
      </c>
      <c r="B185" s="2" t="inlineStr">
        <is>
          <t>c4-c08</t>
        </is>
      </c>
      <c r="C185" s="2" t="inlineStr">
        <is>
          <t>Do we only use 10% of our brains?</t>
        </is>
      </c>
      <c r="D185" s="2" t="inlineStr">
        <is>
          <t>- We use all major brain regions over time.</t>
        </is>
      </c>
      <c r="E185" s="2" t="inlineStr">
        <is>
          <t>- Different regions become more or less active depending on what we're doing.</t>
        </is>
      </c>
      <c r="F185" s="5" t="n"/>
      <c r="G185" s="5" t="n"/>
      <c r="H185" s="5" t="n"/>
    </row>
    <row r="186">
      <c r="A186" s="2" t="inlineStr">
        <is>
          <t>C08-17</t>
        </is>
      </c>
      <c r="B186" s="2" t="inlineStr">
        <is>
          <t>c4-c08</t>
        </is>
      </c>
      <c r="C186" s="2" t="inlineStr">
        <is>
          <t>Do we only use 10% of our brains?</t>
        </is>
      </c>
      <c r="D186" s="2" t="inlineStr">
        <is>
          <t>- Different regions become more or less active depending on what we're doing.</t>
        </is>
      </c>
      <c r="E186" s="2" t="inlineStr">
        <is>
          <t>- Some brain activity continues even while we're asleep.</t>
        </is>
      </c>
      <c r="F186" s="5" t="n"/>
      <c r="G186" s="5" t="n"/>
      <c r="H186" s="5" t="n"/>
    </row>
    <row r="187">
      <c r="A187" s="2" t="inlineStr">
        <is>
          <t>C08-18</t>
        </is>
      </c>
      <c r="B187" s="2" t="inlineStr">
        <is>
          <t>c4-c08</t>
        </is>
      </c>
      <c r="C187" s="2" t="inlineStr">
        <is>
          <t>Do we only use 10% of our brains?</t>
        </is>
      </c>
      <c r="D187" s="2" t="inlineStr">
        <is>
          <t>- Some brain activity continues even while we're asleep.</t>
        </is>
      </c>
      <c r="E187" s="2" t="inlineStr">
        <is>
          <t>- We still have plenty of room to develop skills, strengthen memories, and improve certain cognitive abilities.</t>
        </is>
      </c>
      <c r="F187" s="5" t="n"/>
      <c r="G187" s="5" t="n"/>
      <c r="H187" s="5" t="n"/>
    </row>
    <row r="188">
      <c r="A188" s="2" t="inlineStr">
        <is>
          <t>C08-19</t>
        </is>
      </c>
      <c r="B188" s="2" t="inlineStr">
        <is>
          <t>c4-c08</t>
        </is>
      </c>
      <c r="C188" s="2" t="inlineStr">
        <is>
          <t>Do we only use 10% of our brains?</t>
        </is>
      </c>
      <c r="D188" s="2" t="inlineStr">
        <is>
          <t>- We still have plenty of room to develop skills, strengthen memories, and improve certain cognitive abilities.</t>
        </is>
      </c>
      <c r="E188" s="2" t="inlineStr">
        <is>
          <t>Think of your brain like a city.</t>
        </is>
      </c>
      <c r="F188" s="5" t="n"/>
      <c r="G188" s="5" t="n"/>
      <c r="H188" s="5" t="n"/>
    </row>
    <row r="189">
      <c r="A189" s="2" t="inlineStr">
        <is>
          <t>C08-20</t>
        </is>
      </c>
      <c r="B189" s="2" t="inlineStr">
        <is>
          <t>c4-c08</t>
        </is>
      </c>
      <c r="C189" s="2" t="inlineStr">
        <is>
          <t>Do we only use 10% of our brains?</t>
        </is>
      </c>
      <c r="D189" s="2" t="inlineStr">
        <is>
          <t>Think of your brain like a city.</t>
        </is>
      </c>
      <c r="E189" s="2" t="inlineStr">
        <is>
          <t>Every neighborhood has a purpose, but not every neighborhood is equally busy at the same time.</t>
        </is>
      </c>
      <c r="F189" s="5" t="n"/>
      <c r="G189" s="5" t="n"/>
      <c r="H189" s="5" t="n"/>
    </row>
    <row r="190">
      <c r="A190" s="2" t="inlineStr">
        <is>
          <t>C08-21</t>
        </is>
      </c>
      <c r="B190" s="2" t="inlineStr">
        <is>
          <t>c4-c08</t>
        </is>
      </c>
      <c r="C190" s="2" t="inlineStr">
        <is>
          <t>Do we only use 10% of our brains?</t>
        </is>
      </c>
      <c r="D190" s="2" t="inlineStr">
        <is>
          <t>Every neighborhood has a purpose, but not every neighborhood is equally busy at the same time.</t>
        </is>
      </c>
      <c r="E190" s="2" t="inlineStr">
        <is>
          <t>The 10% brain myth is false.</t>
        </is>
      </c>
      <c r="F190" s="5" t="n"/>
      <c r="G190" s="5" t="n"/>
      <c r="H190" s="5" t="n"/>
    </row>
    <row r="191">
      <c r="A191" s="2" t="inlineStr">
        <is>
          <t>C08-22</t>
        </is>
      </c>
      <c r="B191" s="2" t="inlineStr">
        <is>
          <t>c4-c08</t>
        </is>
      </c>
      <c r="C191" s="2" t="inlineStr">
        <is>
          <t>Do we only use 10% of our brains?</t>
        </is>
      </c>
      <c r="D191" s="2" t="inlineStr">
        <is>
          <t>The 10% brain myth is false.</t>
        </is>
      </c>
      <c r="E191" s="2" t="inlineStr">
        <is>
          <t>We use virtually all of our brain over time, but that doesn't mean every neuron fires simultaneously or that our intellectual potential is unlimited.</t>
        </is>
      </c>
      <c r="F191" s="5" t="n"/>
      <c r="G191" s="5" t="n"/>
      <c r="H191" s="5" t="n"/>
    </row>
    <row r="192">
      <c r="A192" s="2" t="inlineStr">
        <is>
          <t>C08-23</t>
        </is>
      </c>
      <c r="B192" s="2" t="inlineStr">
        <is>
          <t>c4-c08</t>
        </is>
      </c>
      <c r="C192" s="2" t="inlineStr">
        <is>
          <t>Do we only use 10% of our brains?</t>
        </is>
      </c>
      <c r="D192" s="2" t="inlineStr">
        <is>
          <t>We use virtually all of our brain over time, but that doesn't mean every neuron fires simultaneously or that our intellectual potential is unlimited.</t>
        </is>
      </c>
      <c r="E192" s="2" t="inlineStr">
        <is>
          <t>The real opportunity isn't unlocking 90% of an unused brain.</t>
        </is>
      </c>
      <c r="F192" s="5" t="n"/>
      <c r="G192" s="5" t="n"/>
      <c r="H192" s="5" t="n"/>
    </row>
    <row r="193">
      <c r="A193" s="2" t="inlineStr">
        <is>
          <t>C08-24</t>
        </is>
      </c>
      <c r="B193" s="2" t="inlineStr">
        <is>
          <t>c4-c08</t>
        </is>
      </c>
      <c r="C193" s="2" t="inlineStr">
        <is>
          <t>Do we only use 10% of our brains?</t>
        </is>
      </c>
      <c r="D193" s="2" t="inlineStr">
        <is>
          <t>The real opportunity isn't unlocking 90% of an unused brain.</t>
        </is>
      </c>
      <c r="E193" s="2" t="inlineStr">
        <is>
          <t>It's learning how to use the brain we already have more effectively.</t>
        </is>
      </c>
      <c r="F193" s="5" t="n"/>
      <c r="G193" s="5" t="n"/>
      <c r="H193" s="5" t="n"/>
    </row>
    <row r="194">
      <c r="A194" s="2" t="inlineStr">
        <is>
          <t>C09-01</t>
        </is>
      </c>
      <c r="B194" s="2" t="inlineStr">
        <is>
          <t>c4-c09</t>
        </is>
      </c>
      <c r="C194" s="2" t="inlineStr">
        <is>
          <t>Is college necessary to get a good job?</t>
        </is>
      </c>
      <c r="D194" s="2" t="inlineStr"/>
      <c r="E194" s="2" t="inlineStr">
        <is>
          <t>No, college isn't necessary for everyone to get a good job—but having a college degree can open doors that are harder to access without one.</t>
        </is>
      </c>
      <c r="F194" s="5" t="n"/>
      <c r="G194" s="5" t="n"/>
      <c r="H194" s="5" t="n"/>
    </row>
    <row r="195">
      <c r="A195" s="2" t="inlineStr">
        <is>
          <t>C09-02</t>
        </is>
      </c>
      <c r="B195" s="2" t="inlineStr">
        <is>
          <t>c4-c09</t>
        </is>
      </c>
      <c r="C195" s="2" t="inlineStr">
        <is>
          <t>Is college necessary to get a good job?</t>
        </is>
      </c>
      <c r="D195" s="2" t="inlineStr">
        <is>
          <t>No, college isn't necessary for everyone to get a good job—but having a college degree can open doors that are harder to access without one.</t>
        </is>
      </c>
      <c r="E195" s="2" t="inlineStr">
        <is>
          <t>The answer depends on what you consider a good job: a high salary, job security, career advancement, meaningful work, or a healthy work-life balance.</t>
        </is>
      </c>
      <c r="F195" s="5" t="n"/>
      <c r="G195" s="5" t="n"/>
      <c r="H195" s="5" t="n"/>
    </row>
    <row r="196">
      <c r="A196" s="2" t="inlineStr">
        <is>
          <t>C09-03</t>
        </is>
      </c>
      <c r="B196" s="2" t="inlineStr">
        <is>
          <t>c4-c09</t>
        </is>
      </c>
      <c r="C196" s="2" t="inlineStr">
        <is>
          <t>Is college necessary to get a good job?</t>
        </is>
      </c>
      <c r="D196" s="2" t="inlineStr">
        <is>
          <t>The answer depends on what you consider a good job: a high salary, job security, career advancement, meaningful work, or a healthy work-life balance.</t>
        </is>
      </c>
      <c r="E196" s="2" t="inlineStr">
        <is>
          <t>Some careers require a degree, while others prioritize skills, experience, certifications, or a strong portfolio.</t>
        </is>
      </c>
      <c r="F196" s="5" t="n"/>
      <c r="G196" s="5" t="n"/>
      <c r="H196" s="5" t="n"/>
    </row>
    <row r="197">
      <c r="A197" s="2" t="inlineStr">
        <is>
          <t>C09-04</t>
        </is>
      </c>
      <c r="B197" s="2" t="inlineStr">
        <is>
          <t>c4-c09</t>
        </is>
      </c>
      <c r="C197" s="2" t="inlineStr">
        <is>
          <t>Is college necessary to get a good job?</t>
        </is>
      </c>
      <c r="D197" s="2" t="inlineStr">
        <is>
          <t>Some careers require a degree, while others prioritize skills, experience, certifications, or a strong portfolio.</t>
        </is>
      </c>
      <c r="E197" s="2" t="inlineStr">
        <is>
          <t>- Higher earning potential: On average, U.S. workers with bachelor's degrees earn more than workers whose highest education is a high school diploma.</t>
        </is>
      </c>
      <c r="F197" s="5" t="n"/>
      <c r="G197" s="5" t="n"/>
      <c r="H197" s="5" t="n"/>
    </row>
    <row r="198">
      <c r="A198" s="2" t="inlineStr">
        <is>
          <t>C09-05</t>
        </is>
      </c>
      <c r="B198" s="2" t="inlineStr">
        <is>
          <t>c4-c09</t>
        </is>
      </c>
      <c r="C198" s="2" t="inlineStr">
        <is>
          <t>Is college necessary to get a good job?</t>
        </is>
      </c>
      <c r="D198" s="2" t="inlineStr">
        <is>
          <t>- Higher earning potential: On average, U.S. workers with bachelor's degrees earn more than workers whose highest education is a high school diploma.</t>
        </is>
      </c>
      <c r="E198" s="2" t="inlineStr">
        <is>
          <t>- More career options: Many employers require or prefer degrees for jobs in engineering, accounting, healthcare, and management.</t>
        </is>
      </c>
      <c r="F198" s="5" t="n"/>
      <c r="G198" s="5" t="n"/>
      <c r="H198" s="5" t="n"/>
    </row>
    <row r="199">
      <c r="A199" s="2" t="inlineStr">
        <is>
          <t>C09-06</t>
        </is>
      </c>
      <c r="B199" s="2" t="inlineStr">
        <is>
          <t>c4-c09</t>
        </is>
      </c>
      <c r="C199" s="2" t="inlineStr">
        <is>
          <t>Is college necessary to get a good job?</t>
        </is>
      </c>
      <c r="D199" s="2" t="inlineStr">
        <is>
          <t>- More career options: Many employers require or prefer degrees for jobs in engineering, accounting, healthcare, and management.</t>
        </is>
      </c>
      <c r="E199" s="2" t="inlineStr">
        <is>
          <t>- Professional connections: Professors, alumni, internships, and campus recruiting can help students access opportunities.</t>
        </is>
      </c>
      <c r="F199" s="5" t="n"/>
      <c r="G199" s="5" t="n"/>
      <c r="H199" s="5" t="n"/>
    </row>
    <row r="200">
      <c r="A200" s="2" t="inlineStr">
        <is>
          <t>C09-07</t>
        </is>
      </c>
      <c r="B200" s="2" t="inlineStr">
        <is>
          <t>c4-c09</t>
        </is>
      </c>
      <c r="C200" s="2" t="inlineStr">
        <is>
          <t>Is college necessary to get a good job?</t>
        </is>
      </c>
      <c r="D200" s="2" t="inlineStr">
        <is>
          <t>- Professional connections: Professors, alumni, internships, and campus recruiting can help students access opportunities.</t>
        </is>
      </c>
      <c r="E200" s="2" t="inlineStr">
        <is>
          <t>- A structured learning environment: College can provide technical knowledge, communication skills, and opportunities to explore different fields.</t>
        </is>
      </c>
      <c r="F200" s="5" t="n"/>
      <c r="G200" s="5" t="n"/>
      <c r="H200" s="5" t="n"/>
    </row>
    <row r="201">
      <c r="A201" s="2" t="inlineStr">
        <is>
          <t>C09-08</t>
        </is>
      </c>
      <c r="B201" s="2" t="inlineStr">
        <is>
          <t>c4-c09</t>
        </is>
      </c>
      <c r="C201" s="2" t="inlineStr">
        <is>
          <t>Is college necessary to get a good job?</t>
        </is>
      </c>
      <c r="D201" s="2" t="inlineStr">
        <is>
          <t>- A structured learning environment: College can provide technical knowledge, communication skills, and opportunities to explore different fields.</t>
        </is>
      </c>
      <c r="E201" s="2" t="inlineStr">
        <is>
          <t>The U.S. Bureau of Labor Statistics consistently reports differences in earnings and unemployment rates by educational attainment, although those averages don't predict what any particular person will earn.</t>
        </is>
      </c>
      <c r="F201" s="5" t="n"/>
      <c r="G201" s="5" t="n"/>
      <c r="H201" s="5" t="n"/>
    </row>
    <row r="202">
      <c r="A202" s="2" t="inlineStr">
        <is>
          <t>C09-09</t>
        </is>
      </c>
      <c r="B202" s="2" t="inlineStr">
        <is>
          <t>c4-c09</t>
        </is>
      </c>
      <c r="C202" s="2" t="inlineStr">
        <is>
          <t>Is college necessary to get a good job?</t>
        </is>
      </c>
      <c r="D202" s="2" t="inlineStr">
        <is>
          <t>The U.S. Bureau of Labor Statistics consistently reports differences in earnings and unemployment rates by educational attainment, although those averages don't predict what any particular person will earn.</t>
        </is>
      </c>
      <c r="E202" s="2" t="inlineStr">
        <is>
          <t>Several career paths can lead to strong earnings without a four-year degree.</t>
        </is>
      </c>
      <c r="F202" s="5" t="n"/>
      <c r="G202" s="5" t="n"/>
      <c r="H202" s="5" t="n"/>
    </row>
    <row r="203">
      <c r="A203" s="2" t="inlineStr">
        <is>
          <t>C09-10</t>
        </is>
      </c>
      <c r="B203" s="2" t="inlineStr">
        <is>
          <t>c4-c09</t>
        </is>
      </c>
      <c r="C203" s="2" t="inlineStr">
        <is>
          <t>Is college necessary to get a good job?</t>
        </is>
      </c>
      <c r="D203" s="2" t="inlineStr">
        <is>
          <t>Several career paths can lead to strong earnings without a four-year degree.</t>
        </is>
      </c>
      <c r="E203" s="2" t="inlineStr">
        <is>
          <t>Electricians, plumbers, and HVAC technicians can enter through apprenticeships, technical training, and licensing.</t>
        </is>
      </c>
      <c r="F203" s="5" t="n"/>
      <c r="G203" s="5" t="n"/>
      <c r="H203" s="5" t="n"/>
    </row>
    <row r="204">
      <c r="A204" s="2" t="inlineStr">
        <is>
          <t>C09-11</t>
        </is>
      </c>
      <c r="B204" s="2" t="inlineStr">
        <is>
          <t>c4-c09</t>
        </is>
      </c>
      <c r="C204" s="2" t="inlineStr">
        <is>
          <t>Is college necessary to get a good job?</t>
        </is>
      </c>
      <c r="D204" s="2" t="inlineStr">
        <is>
          <t>Electricians, plumbers, and HVAC technicians can enter through apprenticeships, technical training, and licensing.</t>
        </is>
      </c>
      <c r="E204" s="2" t="inlineStr">
        <is>
          <t>Some earn very good incomes without a bachelor's degree.</t>
        </is>
      </c>
      <c r="F204" s="5" t="n"/>
      <c r="G204" s="5" t="n"/>
      <c r="H204" s="5" t="n"/>
    </row>
    <row r="205">
      <c r="A205" s="2" t="inlineStr">
        <is>
          <t>C09-12</t>
        </is>
      </c>
      <c r="B205" s="2" t="inlineStr">
        <is>
          <t>c4-c09</t>
        </is>
      </c>
      <c r="C205" s="2" t="inlineStr">
        <is>
          <t>Is college necessary to get a good job?</t>
        </is>
      </c>
      <c r="D205" s="2" t="inlineStr">
        <is>
          <t>Some earn very good incomes without a bachelor's degree.</t>
        </is>
      </c>
      <c r="E205" s="2" t="inlineStr">
        <is>
          <t>Some software developers, IT specialists, and web developers build careers through practical experience, certifications, and portfolios.</t>
        </is>
      </c>
      <c r="F205" s="5" t="n"/>
      <c r="G205" s="5" t="n"/>
      <c r="H205" s="5" t="n"/>
    </row>
    <row r="206">
      <c r="A206" s="2" t="inlineStr">
        <is>
          <t>C09-13</t>
        </is>
      </c>
      <c r="B206" s="2" t="inlineStr">
        <is>
          <t>c4-c09</t>
        </is>
      </c>
      <c r="C206" s="2" t="inlineStr">
        <is>
          <t>Is college necessary to get a good job?</t>
        </is>
      </c>
      <c r="D206" s="2" t="inlineStr">
        <is>
          <t>Some software developers, IT specialists, and web developers build careers through practical experience, certifications, and portfolios.</t>
        </is>
      </c>
      <c r="E206" s="2" t="inlineStr">
        <is>
          <t>However, many employers still prefer degrees for certain positions.</t>
        </is>
      </c>
      <c r="F206" s="5" t="n"/>
      <c r="G206" s="5" t="n"/>
      <c r="H206" s="5" t="n"/>
    </row>
    <row r="207">
      <c r="A207" s="2" t="inlineStr">
        <is>
          <t>C09-14</t>
        </is>
      </c>
      <c r="B207" s="2" t="inlineStr">
        <is>
          <t>c4-c09</t>
        </is>
      </c>
      <c r="C207" s="2" t="inlineStr">
        <is>
          <t>Is college necessary to get a good job?</t>
        </is>
      </c>
      <c r="D207" s="2" t="inlineStr">
        <is>
          <t>However, many employers still prefer degrees for certain positions.</t>
        </is>
      </c>
      <c r="E207" s="2" t="inlineStr">
        <is>
          <t>Business owners, sales professionals, and real estate agents can succeed without a bachelor's degree.</t>
        </is>
      </c>
      <c r="F207" s="5" t="n"/>
      <c r="G207" s="5" t="n"/>
      <c r="H207" s="5" t="n"/>
    </row>
    <row r="208">
      <c r="A208" s="2" t="inlineStr">
        <is>
          <t>C09-15</t>
        </is>
      </c>
      <c r="B208" s="2" t="inlineStr">
        <is>
          <t>c4-c09</t>
        </is>
      </c>
      <c r="C208" s="2" t="inlineStr">
        <is>
          <t>Is college necessary to get a good job?</t>
        </is>
      </c>
      <c r="D208" s="2" t="inlineStr">
        <is>
          <t>Business owners, sales professionals, and real estate agents can succeed without a bachelor's degree.</t>
        </is>
      </c>
      <c r="E208" s="2" t="inlineStr">
        <is>
          <t>Earnings can be substantial, but may also be unpredictable.</t>
        </is>
      </c>
      <c r="F208" s="5" t="n"/>
      <c r="G208" s="5" t="n"/>
      <c r="H208" s="5" t="n"/>
    </row>
    <row r="209">
      <c r="A209" s="2" t="inlineStr">
        <is>
          <t>C09-16</t>
        </is>
      </c>
      <c r="B209" s="2" t="inlineStr">
        <is>
          <t>c4-c09</t>
        </is>
      </c>
      <c r="C209" s="2" t="inlineStr">
        <is>
          <t>Is college necessary to get a good job?</t>
        </is>
      </c>
      <c r="D209" s="2" t="inlineStr">
        <is>
          <t>Earnings can be substantial, but may also be unpredictable.</t>
        </is>
      </c>
      <c r="E209" s="2" t="inlineStr">
        <is>
          <t>The U.S. Bureau of Labor Statistics reported the following figures for 2025 for people aged 25 and older.</t>
        </is>
      </c>
      <c r="F209" s="5" t="n"/>
      <c r="G209" s="5" t="n"/>
      <c r="H209" s="5" t="n"/>
    </row>
    <row r="210">
      <c r="A210" s="2" t="inlineStr">
        <is>
          <t>C09-17</t>
        </is>
      </c>
      <c r="B210" s="2" t="inlineStr">
        <is>
          <t>c4-c09</t>
        </is>
      </c>
      <c r="C210" s="2" t="inlineStr">
        <is>
          <t>Is college necessary to get a good job?</t>
        </is>
      </c>
      <c r="D210" s="2" t="inlineStr">
        <is>
          <t>The U.S. Bureau of Labor Statistics reported the following figures for 2025 for people aged 25 and older.</t>
        </is>
      </c>
      <c r="E210" s="2" t="inlineStr">
        <is>
          <t>High school diploma | $966 | 4.3%</t>
        </is>
      </c>
      <c r="F210" s="5" t="n"/>
      <c r="G210" s="5" t="n"/>
      <c r="H210" s="5" t="n"/>
    </row>
    <row r="211">
      <c r="A211" s="2" t="inlineStr">
        <is>
          <t>C09-18</t>
        </is>
      </c>
      <c r="B211" s="2" t="inlineStr">
        <is>
          <t>c4-c09</t>
        </is>
      </c>
      <c r="C211" s="2" t="inlineStr">
        <is>
          <t>Is college necessary to get a good job?</t>
        </is>
      </c>
      <c r="D211" s="2" t="inlineStr">
        <is>
          <t>High school diploma | $966 | 4.3%</t>
        </is>
      </c>
      <c r="E211" s="2" t="inlineStr">
        <is>
          <t>Associate degree | $1,135 | 3.0%</t>
        </is>
      </c>
      <c r="F211" s="5" t="n"/>
      <c r="G211" s="5" t="n"/>
      <c r="H211" s="5" t="n"/>
    </row>
    <row r="212">
      <c r="A212" s="2" t="inlineStr">
        <is>
          <t>C09-19</t>
        </is>
      </c>
      <c r="B212" s="2" t="inlineStr">
        <is>
          <t>c4-c09</t>
        </is>
      </c>
      <c r="C212" s="2" t="inlineStr">
        <is>
          <t>Is college necessary to get a good job?</t>
        </is>
      </c>
      <c r="D212" s="2" t="inlineStr">
        <is>
          <t>Associate degree | $1,135 | 3.0%</t>
        </is>
      </c>
      <c r="E212" s="2" t="inlineStr">
        <is>
          <t>Bachelor's degree | $1,578 | 2.8%</t>
        </is>
      </c>
      <c r="F212" s="5" t="n"/>
      <c r="G212" s="5" t="n"/>
      <c r="H212" s="5" t="n"/>
    </row>
    <row r="213">
      <c r="A213" s="2" t="inlineStr">
        <is>
          <t>C09-20</t>
        </is>
      </c>
      <c r="B213" s="2" t="inlineStr">
        <is>
          <t>c4-c09</t>
        </is>
      </c>
      <c r="C213" s="2" t="inlineStr">
        <is>
          <t>Is college necessary to get a good job?</t>
        </is>
      </c>
      <c r="D213" s="2" t="inlineStr">
        <is>
          <t>Bachelor's degree | $1,578 | 2.8%</t>
        </is>
      </c>
      <c r="E213" s="2" t="inlineStr">
        <is>
          <t>Master's degree | $1,876 | 2.6%</t>
        </is>
      </c>
      <c r="F213" s="5" t="n"/>
      <c r="G213" s="5" t="n"/>
      <c r="H213" s="5" t="n"/>
    </row>
    <row r="214">
      <c r="A214" s="2" t="inlineStr">
        <is>
          <t>C09-21</t>
        </is>
      </c>
      <c r="B214" s="2" t="inlineStr">
        <is>
          <t>c4-c09</t>
        </is>
      </c>
      <c r="C214" s="2" t="inlineStr">
        <is>
          <t>Is college necessary to get a good job?</t>
        </is>
      </c>
      <c r="D214" s="2" t="inlineStr">
        <is>
          <t>Master's degree | $1,876 | 2.6%</t>
        </is>
      </c>
      <c r="E214" s="2" t="inlineStr">
        <is>
          <t>Earnings are for full-time wage and salary workers; unemployment rates cover the broader labor force.</t>
        </is>
      </c>
      <c r="F214" s="5" t="n"/>
      <c r="G214" s="5" t="n"/>
      <c r="H214" s="5" t="n"/>
    </row>
    <row r="215">
      <c r="A215" s="2" t="inlineStr">
        <is>
          <t>C09-22</t>
        </is>
      </c>
      <c r="B215" s="2" t="inlineStr">
        <is>
          <t>c4-c09</t>
        </is>
      </c>
      <c r="C215" s="2" t="inlineStr">
        <is>
          <t>Is college necessary to get a good job?</t>
        </is>
      </c>
      <c r="D215" s="2" t="inlineStr">
        <is>
          <t>Earnings are for full-time wage and salary workers; unemployment rates cover the broader labor force.</t>
        </is>
      </c>
      <c r="E215" s="2" t="inlineStr">
        <is>
          <t>These are population averages, not guaranteed salaries.</t>
        </is>
      </c>
      <c r="F215" s="5" t="n"/>
      <c r="G215" s="5" t="n"/>
      <c r="H215" s="5" t="n"/>
    </row>
    <row r="216">
      <c r="A216" s="2" t="inlineStr">
        <is>
          <t>C09-23</t>
        </is>
      </c>
      <c r="B216" s="2" t="inlineStr">
        <is>
          <t>c4-c09</t>
        </is>
      </c>
      <c r="C216" s="2" t="inlineStr">
        <is>
          <t>Is college necessary to get a good job?</t>
        </is>
      </c>
      <c r="D216" s="2" t="inlineStr">
        <is>
          <t>These are population averages, not guaranteed salaries.</t>
        </is>
      </c>
      <c r="E216" s="2" t="inlineStr">
        <is>
          <t>The figures show that education is associated with higher earnings and lower unemployment.</t>
        </is>
      </c>
      <c r="F216" s="5" t="n"/>
      <c r="G216" s="5" t="n"/>
      <c r="H216" s="5" t="n"/>
    </row>
    <row r="217">
      <c r="A217" s="2" t="inlineStr">
        <is>
          <t>C09-24</t>
        </is>
      </c>
      <c r="B217" s="2" t="inlineStr">
        <is>
          <t>c4-c09</t>
        </is>
      </c>
      <c r="C217" s="2" t="inlineStr">
        <is>
          <t>Is college necessary to get a good job?</t>
        </is>
      </c>
      <c r="D217" s="2" t="inlineStr">
        <is>
          <t>The figures show that education is associated with higher earnings and lower unemployment.</t>
        </is>
      </c>
      <c r="E217" s="2" t="inlineStr">
        <is>
          <t>However, they don't prove that a degree alone causes the difference: occupation, experience, location, and other factors also matter.</t>
        </is>
      </c>
      <c r="F217" s="5" t="n"/>
      <c r="G217" s="5" t="n"/>
      <c r="H217" s="5" t="n"/>
    </row>
    <row r="218">
      <c r="A218" s="2" t="inlineStr">
        <is>
          <t>C09-25</t>
        </is>
      </c>
      <c r="B218" s="2" t="inlineStr">
        <is>
          <t>c4-c09</t>
        </is>
      </c>
      <c r="C218" s="2" t="inlineStr">
        <is>
          <t>Is college necessary to get a good job?</t>
        </is>
      </c>
      <c r="D218" s="2" t="inlineStr">
        <is>
          <t>However, they don't prove that a degree alone causes the difference: occupation, experience, location, and other factors also matter.</t>
        </is>
      </c>
      <c r="E218" s="2" t="inlineStr">
        <is>
          <t>If your target occupation requires a degree, college may be essential.</t>
        </is>
      </c>
      <c r="F218" s="5" t="n"/>
      <c r="G218" s="5" t="n"/>
      <c r="H218" s="5" t="n"/>
    </row>
    <row r="219">
      <c r="A219" s="2" t="inlineStr">
        <is>
          <t>C09-26</t>
        </is>
      </c>
      <c r="B219" s="2" t="inlineStr">
        <is>
          <t>c4-c09</t>
        </is>
      </c>
      <c r="C219" s="2" t="inlineStr">
        <is>
          <t>Is college necessary to get a good job?</t>
        </is>
      </c>
      <c r="D219" s="2" t="inlineStr">
        <is>
          <t>If your target occupation requires a degree, college may be essential.</t>
        </is>
      </c>
      <c r="E219" s="2" t="inlineStr">
        <is>
          <t>If it values demonstrated skills, another route might work.</t>
        </is>
      </c>
      <c r="F219" s="5" t="n"/>
      <c r="G219" s="5" t="n"/>
      <c r="H219" s="5" t="n"/>
    </row>
    <row r="220">
      <c r="A220" s="2" t="inlineStr">
        <is>
          <t>C09-27</t>
        </is>
      </c>
      <c r="B220" s="2" t="inlineStr">
        <is>
          <t>c4-c09</t>
        </is>
      </c>
      <c r="C220" s="2" t="inlineStr">
        <is>
          <t>Is college necessary to get a good job?</t>
        </is>
      </c>
      <c r="D220" s="2" t="inlineStr">
        <is>
          <t>If it values demonstrated skills, another route might work.</t>
        </is>
      </c>
      <c r="E220" s="2" t="inlineStr">
        <is>
          <t>Compare tuition, debt, lost earnings while studying, and the likely income after graduation.</t>
        </is>
      </c>
      <c r="F220" s="5" t="n"/>
      <c r="G220" s="5" t="n"/>
      <c r="H220" s="5" t="n"/>
    </row>
    <row r="221">
      <c r="A221" s="2" t="inlineStr">
        <is>
          <t>C09-28</t>
        </is>
      </c>
      <c r="B221" s="2" t="inlineStr">
        <is>
          <t>c4-c09</t>
        </is>
      </c>
      <c r="C221" s="2" t="inlineStr">
        <is>
          <t>Is college necessary to get a good job?</t>
        </is>
      </c>
      <c r="D221" s="2" t="inlineStr">
        <is>
          <t>Compare tuition, debt, lost earnings while studying, and the likely income after graduation.</t>
        </is>
      </c>
      <c r="E221" s="2" t="inlineStr">
        <is>
          <t>Internships, work experience, certifications, apprenticeships, and completed projects can all demonstrate ability.</t>
        </is>
      </c>
      <c r="F221" s="5" t="n"/>
      <c r="G221" s="5" t="n"/>
      <c r="H221" s="5" t="n"/>
    </row>
    <row r="222">
      <c r="A222" s="2" t="inlineStr">
        <is>
          <t>C09-29</t>
        </is>
      </c>
      <c r="B222" s="2" t="inlineStr">
        <is>
          <t>c4-c09</t>
        </is>
      </c>
      <c r="C222" s="2" t="inlineStr">
        <is>
          <t>Is college necessary to get a good job?</t>
        </is>
      </c>
      <c r="D222" s="2" t="inlineStr">
        <is>
          <t>Internships, work experience, certifications, apprenticeships, and completed projects can all demonstrate ability.</t>
        </is>
      </c>
      <c r="E222" s="2" t="inlineStr">
        <is>
          <t>For example, if you want to become a software engineer, a degree can help you get interviews and learn computer science fundamentals.</t>
        </is>
      </c>
      <c r="F222" s="5" t="n"/>
      <c r="G222" s="5" t="n"/>
      <c r="H222" s="5" t="n"/>
    </row>
    <row r="223">
      <c r="A223" s="2" t="inlineStr">
        <is>
          <t>C09-30</t>
        </is>
      </c>
      <c r="B223" s="2" t="inlineStr">
        <is>
          <t>c4-c09</t>
        </is>
      </c>
      <c r="C223" s="2" t="inlineStr">
        <is>
          <t>Is college necessary to get a good job?</t>
        </is>
      </c>
      <c r="D223" s="2" t="inlineStr">
        <is>
          <t>For example, if you want to become a software engineer, a degree can help you get interviews and learn computer science fundamentals.</t>
        </is>
      </c>
      <c r="E223" s="2" t="inlineStr">
        <is>
          <t>But you'll still need to demonstrate that you can write code, solve problems, and build useful software.</t>
        </is>
      </c>
      <c r="F223" s="5" t="n"/>
      <c r="G223" s="5" t="n"/>
      <c r="H223" s="5" t="n"/>
    </row>
    <row r="224">
      <c r="A224" s="2" t="inlineStr">
        <is>
          <t>C09-31</t>
        </is>
      </c>
      <c r="B224" s="2" t="inlineStr">
        <is>
          <t>c4-c09</t>
        </is>
      </c>
      <c r="C224" s="2" t="inlineStr">
        <is>
          <t>Is college necessary to get a good job?</t>
        </is>
      </c>
      <c r="D224" s="2" t="inlineStr">
        <is>
          <t>But you'll still need to demonstrate that you can write code, solve problems, and build useful software.</t>
        </is>
      </c>
      <c r="E224" s="2" t="inlineStr">
        <is>
          <t>College is an advantage, not a universal requirement.</t>
        </is>
      </c>
      <c r="F224" s="5" t="n"/>
      <c r="G224" s="5" t="n"/>
      <c r="H224" s="5" t="n"/>
    </row>
    <row r="225">
      <c r="A225" s="2" t="inlineStr">
        <is>
          <t>C09-32</t>
        </is>
      </c>
      <c r="B225" s="2" t="inlineStr">
        <is>
          <t>c4-c09</t>
        </is>
      </c>
      <c r="C225" s="2" t="inlineStr">
        <is>
          <t>Is college necessary to get a good job?</t>
        </is>
      </c>
      <c r="D225" s="2" t="inlineStr">
        <is>
          <t>College is an advantage, not a universal requirement.</t>
        </is>
      </c>
      <c r="E225" s="2" t="inlineStr">
        <is>
          <t>A degree can increase your career options and earning potential, but it is neither a guarantee of success nor the only route to a good career.</t>
        </is>
      </c>
      <c r="F225" s="5" t="n"/>
      <c r="G225" s="5" t="n"/>
      <c r="H225" s="5" t="n"/>
    </row>
    <row r="226">
      <c r="A226" s="2" t="inlineStr">
        <is>
          <t>C09-33</t>
        </is>
      </c>
      <c r="B226" s="2" t="inlineStr">
        <is>
          <t>c4-c09</t>
        </is>
      </c>
      <c r="C226" s="2" t="inlineStr">
        <is>
          <t>Is college necessary to get a good job?</t>
        </is>
      </c>
      <c r="D226" s="2" t="inlineStr">
        <is>
          <t>A degree can increase your career options and earning potential, but it is neither a guarantee of success nor the only route to a good career.</t>
        </is>
      </c>
      <c r="E226" s="2" t="inlineStr">
        <is>
          <t>The smartest path is the one that gives you the skills, credentials, and experience your chosen industry values at a cost you can reasonably afford.</t>
        </is>
      </c>
      <c r="F226" s="5" t="n"/>
      <c r="G226" s="5" t="n"/>
      <c r="H226" s="5" t="n"/>
    </row>
    <row r="227">
      <c r="A227" s="2" t="inlineStr">
        <is>
          <t>C10-01</t>
        </is>
      </c>
      <c r="B227" s="2" t="inlineStr">
        <is>
          <t>c4-c10</t>
        </is>
      </c>
      <c r="C227" s="2" t="inlineStr">
        <is>
          <t>Are electric cars cheaper to own than gas cars?</t>
        </is>
      </c>
      <c r="D227" s="2" t="inlineStr"/>
      <c r="E227" s="2" t="inlineStr">
        <is>
          <t>Often, yes—electric cars can be cheaper to own over time, but not in every situation.</t>
        </is>
      </c>
      <c r="F227" s="5" t="n"/>
      <c r="G227" s="5" t="n"/>
      <c r="H227" s="5" t="n"/>
    </row>
    <row r="228">
      <c r="A228" s="2" t="inlineStr">
        <is>
          <t>C10-02</t>
        </is>
      </c>
      <c r="B228" s="2" t="inlineStr">
        <is>
          <t>c4-c10</t>
        </is>
      </c>
      <c r="C228" s="2" t="inlineStr">
        <is>
          <t>Are electric cars cheaper to own than gas cars?</t>
        </is>
      </c>
      <c r="D228" s="2" t="inlineStr">
        <is>
          <t>Often, yes—electric cars can be cheaper to own over time, but not in every situation.</t>
        </is>
      </c>
      <c r="E228" s="2" t="inlineStr">
        <is>
          <t>Electric vehicles (EVs) generally cost less to fuel and maintain, while gasoline cars can be cheaper to buy upfront.</t>
        </is>
      </c>
      <c r="F228" s="5" t="n"/>
      <c r="G228" s="5" t="n"/>
      <c r="H228" s="5" t="n"/>
    </row>
    <row r="229">
      <c r="A229" s="2" t="inlineStr">
        <is>
          <t>C10-03</t>
        </is>
      </c>
      <c r="B229" s="2" t="inlineStr">
        <is>
          <t>c4-c10</t>
        </is>
      </c>
      <c r="C229" s="2" t="inlineStr">
        <is>
          <t>Are electric cars cheaper to own than gas cars?</t>
        </is>
      </c>
      <c r="D229" s="2" t="inlineStr">
        <is>
          <t>Electric vehicles (EVs) generally cost less to fuel and maintain, while gasoline cars can be cheaper to buy upfront.</t>
        </is>
      </c>
      <c r="E229" s="2" t="inlineStr">
        <is>
          <t>The biggest factors are how much you drive, what you pay for electricity, whether you can charge at home, the purchase price, and how long you keep the car.</t>
        </is>
      </c>
      <c r="F229" s="5" t="n"/>
      <c r="G229" s="5" t="n"/>
      <c r="H229" s="5" t="n"/>
    </row>
    <row r="230">
      <c r="A230" s="2" t="inlineStr">
        <is>
          <t>C10-04</t>
        </is>
      </c>
      <c r="B230" s="2" t="inlineStr">
        <is>
          <t>c4-c10</t>
        </is>
      </c>
      <c r="C230" s="2" t="inlineStr">
        <is>
          <t>Are electric cars cheaper to own than gas cars?</t>
        </is>
      </c>
      <c r="D230" s="2" t="inlineStr">
        <is>
          <t>The biggest factors are how much you drive, what you pay for electricity, whether you can charge at home, the purchase price, and how long you keep the car.</t>
        </is>
      </c>
      <c r="E230" s="2" t="inlineStr">
        <is>
          <t>Charging at home is often cheaper per mile than buying gasoline.</t>
        </is>
      </c>
      <c r="F230" s="5" t="n"/>
      <c r="G230" s="5" t="n"/>
      <c r="H230" s="5" t="n"/>
    </row>
    <row r="231">
      <c r="A231" s="2" t="inlineStr">
        <is>
          <t>C10-05</t>
        </is>
      </c>
      <c r="B231" s="2" t="inlineStr">
        <is>
          <t>c4-c10</t>
        </is>
      </c>
      <c r="C231" s="2" t="inlineStr">
        <is>
          <t>Are electric cars cheaper to own than gas cars?</t>
        </is>
      </c>
      <c r="D231" s="2" t="inlineStr">
        <is>
          <t>Charging at home is often cheaper per mile than buying gasoline.</t>
        </is>
      </c>
      <c r="E231" s="2" t="inlineStr">
        <is>
          <t>Savings can be smaller if you rely on expensive public fast chargers.</t>
        </is>
      </c>
      <c r="F231" s="5" t="n"/>
      <c r="G231" s="5" t="n"/>
      <c r="H231" s="5" t="n"/>
    </row>
    <row r="232">
      <c r="A232" s="2" t="inlineStr">
        <is>
          <t>C10-06</t>
        </is>
      </c>
      <c r="B232" s="2" t="inlineStr">
        <is>
          <t>c4-c10</t>
        </is>
      </c>
      <c r="C232" s="2" t="inlineStr">
        <is>
          <t>Are electric cars cheaper to own than gas cars?</t>
        </is>
      </c>
      <c r="D232" s="2" t="inlineStr">
        <is>
          <t>Savings can be smaller if you rely on expensive public fast chargers.</t>
        </is>
      </c>
      <c r="E232" s="2" t="inlineStr">
        <is>
          <t>EVs don't need engine oil changes, spark plugs, or exhaust-system repairs.</t>
        </is>
      </c>
      <c r="F232" s="5" t="n"/>
      <c r="G232" s="5" t="n"/>
      <c r="H232" s="5" t="n"/>
    </row>
    <row r="233">
      <c r="A233" s="2" t="inlineStr">
        <is>
          <t>C10-07</t>
        </is>
      </c>
      <c r="B233" s="2" t="inlineStr">
        <is>
          <t>c4-c10</t>
        </is>
      </c>
      <c r="C233" s="2" t="inlineStr">
        <is>
          <t>Are electric cars cheaper to own than gas cars?</t>
        </is>
      </c>
      <c r="D233" s="2" t="inlineStr">
        <is>
          <t>EVs don't need engine oil changes, spark plugs, or exhaust-system repairs.</t>
        </is>
      </c>
      <c r="E233" s="2" t="inlineStr">
        <is>
          <t>They still need tires, brakes, suspension work, and other routine maintenance.</t>
        </is>
      </c>
      <c r="F233" s="5" t="n"/>
      <c r="G233" s="5" t="n"/>
      <c r="H233" s="5" t="n"/>
    </row>
    <row r="234">
      <c r="A234" s="2" t="inlineStr">
        <is>
          <t>C10-08</t>
        </is>
      </c>
      <c r="B234" s="2" t="inlineStr">
        <is>
          <t>c4-c10</t>
        </is>
      </c>
      <c r="C234" s="2" t="inlineStr">
        <is>
          <t>Are electric cars cheaper to own than gas cars?</t>
        </is>
      </c>
      <c r="D234" s="2" t="inlineStr">
        <is>
          <t>They still need tires, brakes, suspension work, and other routine maintenance.</t>
        </is>
      </c>
      <c r="E234" s="2" t="inlineStr">
        <is>
          <t>Some EVs cost more upfront than comparable gas cars.</t>
        </is>
      </c>
      <c r="F234" s="5" t="n"/>
      <c r="G234" s="5" t="n"/>
      <c r="H234" s="5" t="n"/>
    </row>
    <row r="235">
      <c r="A235" s="2" t="inlineStr">
        <is>
          <t>C10-09</t>
        </is>
      </c>
      <c r="B235" s="2" t="inlineStr">
        <is>
          <t>c4-c10</t>
        </is>
      </c>
      <c r="C235" s="2" t="inlineStr">
        <is>
          <t>Are electric cars cheaper to own than gas cars?</t>
        </is>
      </c>
      <c r="D235" s="2" t="inlineStr">
        <is>
          <t>Some EVs cost more upfront than comparable gas cars.</t>
        </is>
      </c>
      <c r="E235" s="2" t="inlineStr">
        <is>
          <t>Battery repairs outside warranty can be expensive, while resale value varies by model and market.</t>
        </is>
      </c>
      <c r="F235" s="5" t="n"/>
      <c r="G235" s="5" t="n"/>
      <c r="H235" s="5" t="n"/>
    </row>
    <row r="236">
      <c r="A236" s="2" t="inlineStr">
        <is>
          <t>C10-10</t>
        </is>
      </c>
      <c r="B236" s="2" t="inlineStr">
        <is>
          <t>c4-c10</t>
        </is>
      </c>
      <c r="C236" s="2" t="inlineStr">
        <is>
          <t>Are electric cars cheaper to own than gas cars?</t>
        </is>
      </c>
      <c r="D236" s="2" t="inlineStr">
        <is>
          <t>Battery repairs outside warranty can be expensive, while resale value varies by model and market.</t>
        </is>
      </c>
      <c r="E236" s="2" t="inlineStr">
        <is>
          <t>Let's compare a typical electric car with a gasoline car using illustrative assumptions.</t>
        </is>
      </c>
      <c r="F236" s="5" t="n"/>
      <c r="G236" s="5" t="n"/>
      <c r="H236" s="5" t="n"/>
    </row>
    <row r="237">
      <c r="A237" s="2" t="inlineStr">
        <is>
          <t>C10-11</t>
        </is>
      </c>
      <c r="B237" s="2" t="inlineStr">
        <is>
          <t>c4-c10</t>
        </is>
      </c>
      <c r="C237" s="2" t="inlineStr">
        <is>
          <t>Are electric cars cheaper to own than gas cars?</t>
        </is>
      </c>
      <c r="D237" s="2" t="inlineStr">
        <is>
          <t>Let's compare a typical electric car with a gasoline car using illustrative assumptions.</t>
        </is>
      </c>
      <c r="E237" s="2" t="inlineStr">
        <is>
          <t>Assume 30 kWh per 100 miles and electricity at $0.17/kWh.</t>
        </is>
      </c>
      <c r="F237" s="5" t="n"/>
      <c r="G237" s="5" t="n"/>
      <c r="H237" s="5" t="n"/>
    </row>
    <row r="238">
      <c r="A238" s="2" t="inlineStr">
        <is>
          <t>C10-12</t>
        </is>
      </c>
      <c r="B238" s="2" t="inlineStr">
        <is>
          <t>c4-c10</t>
        </is>
      </c>
      <c r="C238" s="2" t="inlineStr">
        <is>
          <t>Are electric cars cheaper to own than gas cars?</t>
        </is>
      </c>
      <c r="D238" s="2" t="inlineStr">
        <is>
          <t>Assume 30 kWh per 100 miles and electricity at $0.17/kWh.</t>
        </is>
      </c>
      <c r="E238" s="2" t="inlineStr">
        <is>
          <t>Assume 30 mpg and gasoline at $3.60/gallon.</t>
        </is>
      </c>
      <c r="F238" s="5" t="n"/>
      <c r="G238" s="5" t="n"/>
      <c r="H238" s="5" t="n"/>
    </row>
    <row r="239">
      <c r="A239" s="2" t="inlineStr">
        <is>
          <t>C10-13</t>
        </is>
      </c>
      <c r="B239" s="2" t="inlineStr">
        <is>
          <t>c4-c10</t>
        </is>
      </c>
      <c r="C239" s="2" t="inlineStr">
        <is>
          <t>Are electric cars cheaper to own than gas cars?</t>
        </is>
      </c>
      <c r="D239" s="2" t="inlineStr">
        <is>
          <t>Assume 30 mpg and gasoline at $3.60/gallon.</t>
        </is>
      </c>
      <c r="E239" s="2" t="inlineStr">
        <is>
          <t>Energy costs only, before maintenance and ownership costs.</t>
        </is>
      </c>
      <c r="F239" s="5" t="n"/>
      <c r="G239" s="5" t="n"/>
      <c r="H239" s="5" t="n"/>
    </row>
    <row r="240">
      <c r="A240" s="2" t="inlineStr">
        <is>
          <t>C10-14</t>
        </is>
      </c>
      <c r="B240" s="2" t="inlineStr">
        <is>
          <t>c4-c10</t>
        </is>
      </c>
      <c r="C240" s="2" t="inlineStr">
        <is>
          <t>Are electric cars cheaper to own than gas cars?</t>
        </is>
      </c>
      <c r="D240" s="2" t="inlineStr">
        <is>
          <t>Energy costs only, before maintenance and ownership costs.</t>
        </is>
      </c>
      <c r="E240" s="2" t="inlineStr">
        <is>
          <t>These are illustrative figures, not current national averages.</t>
        </is>
      </c>
      <c r="F240" s="5" t="n"/>
      <c r="G240" s="5" t="n"/>
      <c r="H240" s="5" t="n"/>
    </row>
    <row r="241">
      <c r="A241" s="2" t="inlineStr">
        <is>
          <t>C10-15</t>
        </is>
      </c>
      <c r="B241" s="2" t="inlineStr">
        <is>
          <t>c4-c10</t>
        </is>
      </c>
      <c r="C241" s="2" t="inlineStr">
        <is>
          <t>Are electric cars cheaper to own than gas cars?</t>
        </is>
      </c>
      <c r="D241" s="2" t="inlineStr">
        <is>
          <t>These are illustrative figures, not current national averages.</t>
        </is>
      </c>
      <c r="E241" s="2" t="inlineStr">
        <is>
          <t>Actual costs depend on local electricity and gasoline prices, vehicle efficiency, and charging losses.</t>
        </is>
      </c>
      <c r="F241" s="5" t="n"/>
      <c r="G241" s="5" t="n"/>
      <c r="H241" s="5" t="n"/>
    </row>
    <row r="242">
      <c r="A242" s="2" t="inlineStr">
        <is>
          <t>C10-16</t>
        </is>
      </c>
      <c r="B242" s="2" t="inlineStr">
        <is>
          <t>c4-c10</t>
        </is>
      </c>
      <c r="C242" s="2" t="inlineStr">
        <is>
          <t>Are electric cars cheaper to own than gas cars?</t>
        </is>
      </c>
      <c r="D242" s="2" t="inlineStr">
        <is>
          <t>Actual costs depend on local electricity and gasoline prices, vehicle efficiency, and charging losses.</t>
        </is>
      </c>
      <c r="E242" s="2" t="inlineStr">
        <is>
          <t>Saving money on fuel doesn't automatically mean the electric car is cheaper overall.</t>
        </is>
      </c>
      <c r="F242" s="5" t="n"/>
      <c r="G242" s="5" t="n"/>
      <c r="H242" s="5" t="n"/>
    </row>
    <row r="243">
      <c r="A243" s="2" t="inlineStr">
        <is>
          <t>C10-17</t>
        </is>
      </c>
      <c r="B243" s="2" t="inlineStr">
        <is>
          <t>c4-c10</t>
        </is>
      </c>
      <c r="C243" s="2" t="inlineStr">
        <is>
          <t>Are electric cars cheaper to own than gas cars?</t>
        </is>
      </c>
      <c r="D243" s="2" t="inlineStr">
        <is>
          <t>Saving money on fuel doesn't automatically mean the electric car is cheaper overall.</t>
        </is>
      </c>
      <c r="E243" s="2" t="inlineStr">
        <is>
          <t>A September 2026 analysis by AAA found that selected new electric sedans cost more annually to own than comparable gasoline sedans, largely because of higher depreciation and financing costs.</t>
        </is>
      </c>
      <c r="F243" s="5" t="n"/>
      <c r="G243" s="5" t="n"/>
      <c r="H243" s="5" t="n"/>
    </row>
    <row r="244">
      <c r="A244" s="2" t="inlineStr">
        <is>
          <t>C10-18</t>
        </is>
      </c>
      <c r="B244" s="2" t="inlineStr">
        <is>
          <t>c4-c10</t>
        </is>
      </c>
      <c r="C244" s="2" t="inlineStr">
        <is>
          <t>Are electric cars cheaper to own than gas cars?</t>
        </is>
      </c>
      <c r="D244" s="2" t="inlineStr">
        <is>
          <t>A September 2026 analysis by AAA found that selected new electric sedans cost more annually to own than comparable gasoline sedans, largely because of higher depreciation and financing costs.</t>
        </is>
      </c>
      <c r="E244" s="2" t="inlineStr">
        <is>
          <t>In that comparison, EV fuel costs were substantially lower, but those savings did not fully offset the other expenses.</t>
        </is>
      </c>
      <c r="F244" s="5" t="n"/>
      <c r="G244" s="5" t="n"/>
      <c r="H244" s="5" t="n"/>
    </row>
    <row r="245">
      <c r="A245" s="2" t="inlineStr">
        <is>
          <t>C10-19</t>
        </is>
      </c>
      <c r="B245" s="2" t="inlineStr">
        <is>
          <t>c4-c10</t>
        </is>
      </c>
      <c r="C245" s="2" t="inlineStr">
        <is>
          <t>Are electric cars cheaper to own than gas cars?</t>
        </is>
      </c>
      <c r="D245" s="2" t="inlineStr">
        <is>
          <t>In that comparison, EV fuel costs were substantially lower, but those savings did not fully offset the other expenses.</t>
        </is>
      </c>
      <c r="E245" s="2" t="inlineStr">
        <is>
          <t>On the other hand, a University of Michigan study found that small, lower-range EVs were generally less expensive to own over their lifetimes than gasoline counterparts, while larger, long-range EVs were often more expensive.</t>
        </is>
      </c>
      <c r="F245" s="5" t="n"/>
      <c r="G245" s="5" t="n"/>
      <c r="H245" s="5" t="n"/>
    </row>
    <row r="246">
      <c r="A246" s="2" t="inlineStr">
        <is>
          <t>C10-20</t>
        </is>
      </c>
      <c r="B246" s="2" t="inlineStr">
        <is>
          <t>c4-c10</t>
        </is>
      </c>
      <c r="C246" s="2" t="inlineStr">
        <is>
          <t>Are electric cars cheaper to own than gas cars?</t>
        </is>
      </c>
      <c r="D246" s="2" t="inlineStr">
        <is>
          <t>On the other hand, a University of Michigan study found that small, lower-range EVs were generally less expensive to own over their lifetimes than gasoline counterparts, while larger, long-range EVs were often more expensive.</t>
        </is>
      </c>
      <c r="E246" s="2" t="inlineStr">
        <is>
          <t>Access to home charging made a substantial difference.</t>
        </is>
      </c>
      <c r="F246" s="5" t="n"/>
      <c r="G246" s="5" t="n"/>
      <c r="H246" s="5" t="n"/>
    </row>
    <row r="247">
      <c r="A247" s="2" t="inlineStr">
        <is>
          <t>C10-21</t>
        </is>
      </c>
      <c r="B247" s="2" t="inlineStr">
        <is>
          <t>c4-c10</t>
        </is>
      </c>
      <c r="C247" s="2" t="inlineStr">
        <is>
          <t>Are electric cars cheaper to own than gas cars?</t>
        </is>
      </c>
      <c r="D247" s="2" t="inlineStr">
        <is>
          <t>Access to home charging made a substantial difference.</t>
        </is>
      </c>
      <c r="E247" s="2" t="inlineStr">
        <is>
          <t>You can charge at home cheaply | Electric</t>
        </is>
      </c>
      <c r="F247" s="5" t="n"/>
      <c r="G247" s="5" t="n"/>
      <c r="H247" s="5" t="n"/>
    </row>
    <row r="248">
      <c r="A248" s="2" t="inlineStr">
        <is>
          <t>C10-22</t>
        </is>
      </c>
      <c r="B248" s="2" t="inlineStr">
        <is>
          <t>c4-c10</t>
        </is>
      </c>
      <c r="C248" s="2" t="inlineStr">
        <is>
          <t>Are electric cars cheaper to own than gas cars?</t>
        </is>
      </c>
      <c r="D248" s="2" t="inlineStr">
        <is>
          <t>You can charge at home cheaply | Electric</t>
        </is>
      </c>
      <c r="E248" s="2" t="inlineStr">
        <is>
          <t>You drive many miles every year | Electric often benefits</t>
        </is>
      </c>
      <c r="F248" s="5" t="n"/>
      <c r="G248" s="5" t="n"/>
      <c r="H248" s="5" t="n"/>
    </row>
    <row r="249">
      <c r="A249" s="2" t="inlineStr">
        <is>
          <t>C10-23</t>
        </is>
      </c>
      <c r="B249" s="2" t="inlineStr">
        <is>
          <t>c4-c10</t>
        </is>
      </c>
      <c r="C249" s="2" t="inlineStr">
        <is>
          <t>Are electric cars cheaper to own than gas cars?</t>
        </is>
      </c>
      <c r="D249" s="2" t="inlineStr">
        <is>
          <t>You drive many miles every year | Electric often benefits</t>
        </is>
      </c>
      <c r="E249" s="2" t="inlineStr">
        <is>
          <t>You buy an affordable used EV | Potentially electric</t>
        </is>
      </c>
      <c r="F249" s="5" t="n"/>
      <c r="G249" s="5" t="n"/>
      <c r="H249" s="5" t="n"/>
    </row>
    <row r="250">
      <c r="A250" s="2" t="inlineStr">
        <is>
          <t>C10-24</t>
        </is>
      </c>
      <c r="B250" s="2" t="inlineStr">
        <is>
          <t>c4-c10</t>
        </is>
      </c>
      <c r="C250" s="2" t="inlineStr">
        <is>
          <t>Are electric cars cheaper to own than gas cars?</t>
        </is>
      </c>
      <c r="D250" s="2" t="inlineStr">
        <is>
          <t>You buy an affordable used EV | Potentially electric</t>
        </is>
      </c>
      <c r="E250" s="2" t="inlineStr">
        <is>
          <t>You buy a more expensive EV and drive little | Gas may be cheaper overall</t>
        </is>
      </c>
      <c r="F250" s="5" t="n"/>
      <c r="G250" s="5" t="n"/>
      <c r="H250" s="5" t="n"/>
    </row>
    <row r="251">
      <c r="A251" s="2" t="inlineStr">
        <is>
          <t>C10-25</t>
        </is>
      </c>
      <c r="B251" s="2" t="inlineStr">
        <is>
          <t>c4-c10</t>
        </is>
      </c>
      <c r="C251" s="2" t="inlineStr">
        <is>
          <t>Are electric cars cheaper to own than gas cars?</t>
        </is>
      </c>
      <c r="D251" s="2" t="inlineStr">
        <is>
          <t>You buy a more expensive EV and drive little | Gas may be cheaper overall</t>
        </is>
      </c>
      <c r="E251" s="2" t="inlineStr">
        <is>
          <t>You rely on expensive public charging | EV savings may shrink</t>
        </is>
      </c>
      <c r="F251" s="5" t="n"/>
      <c r="G251" s="5" t="n"/>
      <c r="H251" s="5" t="n"/>
    </row>
    <row r="252">
      <c r="A252" s="2" t="inlineStr">
        <is>
          <t>C10-26</t>
        </is>
      </c>
      <c r="B252" s="2" t="inlineStr">
        <is>
          <t>c4-c10</t>
        </is>
      </c>
      <c r="C252" s="2" t="inlineStr">
        <is>
          <t>Are electric cars cheaper to own than gas cars?</t>
        </is>
      </c>
      <c r="D252" s="2" t="inlineStr">
        <is>
          <t>You rely on expensive public charging | EV savings may shrink</t>
        </is>
      </c>
      <c r="E252" s="2" t="inlineStr">
        <is>
          <t>You want the lowest upfront purchase price | Often gas</t>
        </is>
      </c>
      <c r="F252" s="5" t="n"/>
      <c r="G252" s="5" t="n"/>
      <c r="H252" s="5" t="n"/>
    </row>
    <row r="253">
      <c r="A253" s="2" t="inlineStr">
        <is>
          <t>C10-27</t>
        </is>
      </c>
      <c r="B253" s="2" t="inlineStr">
        <is>
          <t>c4-c10</t>
        </is>
      </c>
      <c r="C253" s="2" t="inlineStr">
        <is>
          <t>Are electric cars cheaper to own than gas cars?</t>
        </is>
      </c>
      <c r="D253" s="2" t="inlineStr">
        <is>
          <t>You want the lowest upfront purchase price | Often gas</t>
        </is>
      </c>
      <c r="E253" s="2" t="inlineStr">
        <is>
          <t>Don't forget insurance, registration fees, financing, depreciation, and the cost of installing a home charger.</t>
        </is>
      </c>
      <c r="F253" s="5" t="n"/>
      <c r="G253" s="5" t="n"/>
      <c r="H253" s="5" t="n"/>
    </row>
    <row r="254">
      <c r="A254" s="2" t="inlineStr">
        <is>
          <t>C10-28</t>
        </is>
      </c>
      <c r="B254" s="2" t="inlineStr">
        <is>
          <t>c4-c10</t>
        </is>
      </c>
      <c r="C254" s="2" t="inlineStr">
        <is>
          <t>Are electric cars cheaper to own than gas cars?</t>
        </is>
      </c>
      <c r="D254" s="2" t="inlineStr">
        <is>
          <t>Don't forget insurance, registration fees, financing, depreciation, and the cost of installing a home charger.</t>
        </is>
      </c>
      <c r="E254" s="2" t="inlineStr">
        <is>
          <t>These can change the result considerably.</t>
        </is>
      </c>
      <c r="F254" s="5" t="n"/>
      <c r="G254" s="5" t="n"/>
      <c r="H254" s="5" t="n"/>
    </row>
    <row r="255">
      <c r="A255" s="2" t="inlineStr">
        <is>
          <t>C10-29</t>
        </is>
      </c>
      <c r="B255" s="2" t="inlineStr">
        <is>
          <t>c4-c10</t>
        </is>
      </c>
      <c r="C255" s="2" t="inlineStr">
        <is>
          <t>Are electric cars cheaper to own than gas cars?</t>
        </is>
      </c>
      <c r="D255" s="2" t="inlineStr">
        <is>
          <t>These can change the result considerably.</t>
        </is>
      </c>
      <c r="E255" s="2" t="inlineStr">
        <is>
          <t>The U.S. Department of Energy offers a Vehicle Cost Calculator for comparing specific models and driving habits.</t>
        </is>
      </c>
      <c r="F255" s="5" t="n"/>
      <c r="G255" s="5" t="n"/>
      <c r="H255" s="5" t="n"/>
    </row>
    <row r="256">
      <c r="A256" s="2" t="inlineStr">
        <is>
          <t>C10-30</t>
        </is>
      </c>
      <c r="B256" s="2" t="inlineStr">
        <is>
          <t>c4-c10</t>
        </is>
      </c>
      <c r="C256" s="2" t="inlineStr">
        <is>
          <t>Are electric cars cheaper to own than gas cars?</t>
        </is>
      </c>
      <c r="D256" s="2" t="inlineStr">
        <is>
          <t>The U.S. Department of Energy offers a Vehicle Cost Calculator for comparing specific models and driving habits.</t>
        </is>
      </c>
      <c r="E256" s="2" t="inlineStr">
        <is>
          <t>Electric cars are usually cheaper to run, but they're not always cheaper to own.</t>
        </is>
      </c>
      <c r="F256" s="5" t="n"/>
      <c r="G256" s="5" t="n"/>
      <c r="H256" s="5" t="n"/>
    </row>
    <row r="257">
      <c r="A257" s="2" t="inlineStr">
        <is>
          <t>C10-31</t>
        </is>
      </c>
      <c r="B257" s="2" t="inlineStr">
        <is>
          <t>c4-c10</t>
        </is>
      </c>
      <c r="C257" s="2" t="inlineStr">
        <is>
          <t>Are electric cars cheaper to own than gas cars?</t>
        </is>
      </c>
      <c r="D257" s="2" t="inlineStr">
        <is>
          <t>Electric cars are usually cheaper to run, but they're not always cheaper to own.</t>
        </is>
      </c>
      <c r="E257" s="2" t="inlineStr">
        <is>
          <t>If you drive regularly, charge at home, and choose a competitively priced model, an EV can save you money over several years.</t>
        </is>
      </c>
      <c r="F257" s="5" t="n"/>
      <c r="G257" s="5" t="n"/>
      <c r="H257" s="5" t="n"/>
    </row>
    <row r="258">
      <c r="A258" s="2" t="inlineStr">
        <is>
          <t>C10-32</t>
        </is>
      </c>
      <c r="B258" s="2" t="inlineStr">
        <is>
          <t>c4-c10</t>
        </is>
      </c>
      <c r="C258" s="2" t="inlineStr">
        <is>
          <t>Are electric cars cheaper to own than gas cars?</t>
        </is>
      </c>
      <c r="D258" s="2" t="inlineStr">
        <is>
          <t>If you drive regularly, charge at home, and choose a competitively priced model, an EV can save you money over several years.</t>
        </is>
      </c>
      <c r="E258" s="2" t="inlineStr">
        <is>
          <t>If the purchase price or depreciation is high, a comparable gasoline car may cost less overall.</t>
        </is>
      </c>
      <c r="F258" s="5" t="n"/>
      <c r="G258" s="5" t="n"/>
      <c r="H258" s="5" t="n"/>
    </row>
    <row r="259">
      <c r="A259" s="2" t="inlineStr">
        <is>
          <t>C10-33</t>
        </is>
      </c>
      <c r="B259" s="2" t="inlineStr">
        <is>
          <t>c4-c10</t>
        </is>
      </c>
      <c r="C259" s="2" t="inlineStr">
        <is>
          <t>Are electric cars cheaper to own than gas cars?</t>
        </is>
      </c>
      <c r="D259" s="2" t="inlineStr">
        <is>
          <t>If the purchase price or depreciation is high, a comparable gasoline car may cost less overall.</t>
        </is>
      </c>
      <c r="E259" s="2" t="inlineStr">
        <is>
          <t>The fairest comparison is between two specific cars over the number of years you expect to keep them—not just the price of electricity versus gasoline.</t>
        </is>
      </c>
      <c r="F259" s="5" t="n"/>
      <c r="G259" s="5" t="n"/>
      <c r="H259" s="5" t="n"/>
    </row>
    <row r="260">
      <c r="A260" s="2" t="inlineStr">
        <is>
          <t>C11-01</t>
        </is>
      </c>
      <c r="B260" s="2" t="inlineStr">
        <is>
          <t>c4-c11</t>
        </is>
      </c>
      <c r="C260" s="2" t="inlineStr">
        <is>
          <t>What is a prime number?</t>
        </is>
      </c>
      <c r="D260" s="2" t="inlineStr"/>
      <c r="E260" s="2" t="inlineStr">
        <is>
          <t>A prime number is a whole number greater than 1 that has exactly two positive factors: 1 and itself.</t>
        </is>
      </c>
      <c r="F260" s="5" t="n"/>
      <c r="G260" s="5" t="n"/>
      <c r="H260" s="5" t="n"/>
    </row>
    <row r="261">
      <c r="A261" s="2" t="inlineStr">
        <is>
          <t>C11-02</t>
        </is>
      </c>
      <c r="B261" s="2" t="inlineStr">
        <is>
          <t>c4-c11</t>
        </is>
      </c>
      <c r="C261" s="2" t="inlineStr">
        <is>
          <t>What is a prime number?</t>
        </is>
      </c>
      <c r="D261" s="2" t="inlineStr">
        <is>
          <t>A prime number is a whole number greater than 1 that has exactly two positive factors: 1 and itself.</t>
        </is>
      </c>
      <c r="E261" s="2" t="inlineStr">
        <is>
          <t>In other words, you can only divide a prime number evenly by 1 and the number itself.</t>
        </is>
      </c>
      <c r="F261" s="5" t="n"/>
      <c r="G261" s="5" t="n"/>
      <c r="H261" s="5" t="n"/>
    </row>
    <row r="262">
      <c r="A262" s="2" t="inlineStr">
        <is>
          <t>C11-03</t>
        </is>
      </c>
      <c r="B262" s="2" t="inlineStr">
        <is>
          <t>c4-c11</t>
        </is>
      </c>
      <c r="C262" s="2" t="inlineStr">
        <is>
          <t>What is a prime number?</t>
        </is>
      </c>
      <c r="D262" s="2" t="inlineStr">
        <is>
          <t>In other words, you can only divide a prime number evenly by 1 and the number itself.</t>
        </is>
      </c>
      <c r="E262" s="2" t="inlineStr">
        <is>
          <t>5 is prime: Its only factors are 1 and 5.</t>
        </is>
      </c>
      <c r="F262" s="5" t="n"/>
      <c r="G262" s="5" t="n"/>
      <c r="H262" s="5" t="n"/>
    </row>
    <row r="263">
      <c r="A263" s="2" t="inlineStr">
        <is>
          <t>C11-04</t>
        </is>
      </c>
      <c r="B263" s="2" t="inlineStr">
        <is>
          <t>c4-c11</t>
        </is>
      </c>
      <c r="C263" s="2" t="inlineStr">
        <is>
          <t>What is a prime number?</t>
        </is>
      </c>
      <c r="D263" s="2" t="inlineStr">
        <is>
          <t>5 is prime: Its only factors are 1 and 5.</t>
        </is>
      </c>
      <c r="E263" s="2" t="inlineStr">
        <is>
          <t>7 is prime: Its only factors are 1 and 7.</t>
        </is>
      </c>
      <c r="F263" s="5" t="n"/>
      <c r="G263" s="5" t="n"/>
      <c r="H263" s="5" t="n"/>
    </row>
    <row r="264">
      <c r="A264" s="2" t="inlineStr">
        <is>
          <t>C11-05</t>
        </is>
      </c>
      <c r="B264" s="2" t="inlineStr">
        <is>
          <t>c4-c11</t>
        </is>
      </c>
      <c r="C264" s="2" t="inlineStr">
        <is>
          <t>What is a prime number?</t>
        </is>
      </c>
      <c r="D264" s="2" t="inlineStr">
        <is>
          <t>7 is prime: Its only factors are 1 and 7.</t>
        </is>
      </c>
      <c r="E264" s="2" t="inlineStr">
        <is>
          <t>6 is not prime: It can be divided evenly by 1, 2, 3, and 6.</t>
        </is>
      </c>
      <c r="F264" s="5" t="n"/>
      <c r="G264" s="5" t="n"/>
      <c r="H264" s="5" t="n"/>
    </row>
    <row r="265">
      <c r="A265" s="2" t="inlineStr">
        <is>
          <t>C11-06</t>
        </is>
      </c>
      <c r="B265" s="2" t="inlineStr">
        <is>
          <t>c4-c11</t>
        </is>
      </c>
      <c r="C265" s="2" t="inlineStr">
        <is>
          <t>What is a prime number?</t>
        </is>
      </c>
      <c r="D265" s="2" t="inlineStr">
        <is>
          <t>6 is not prime: It can be divided evenly by 1, 2, 3, and 6.</t>
        </is>
      </c>
      <c r="E265" s="2" t="inlineStr">
        <is>
          <t>A number greater than 1 that has more than two positive factors is called a composite number.</t>
        </is>
      </c>
      <c r="F265" s="5" t="n"/>
      <c r="G265" s="5" t="n"/>
      <c r="H265" s="5" t="n"/>
    </row>
    <row r="266">
      <c r="A266" s="2" t="inlineStr">
        <is>
          <t>C11-07</t>
        </is>
      </c>
      <c r="B266" s="2" t="inlineStr">
        <is>
          <t>c4-c11</t>
        </is>
      </c>
      <c r="C266" s="2" t="inlineStr">
        <is>
          <t>What is a prime number?</t>
        </is>
      </c>
      <c r="D266" s="2" t="inlineStr">
        <is>
          <t>A number greater than 1 that has more than two positive factors is called a composite number.</t>
        </is>
      </c>
      <c r="E266" s="2" t="inlineStr">
        <is>
          <t>2 is the only even prime number.</t>
        </is>
      </c>
      <c r="F266" s="5" t="n"/>
      <c r="G266" s="5" t="n"/>
      <c r="H266" s="5" t="n"/>
    </row>
    <row r="267">
      <c r="A267" s="2" t="inlineStr">
        <is>
          <t>C11-08</t>
        </is>
      </c>
      <c r="B267" s="2" t="inlineStr">
        <is>
          <t>c4-c11</t>
        </is>
      </c>
      <c r="C267" s="2" t="inlineStr">
        <is>
          <t>What is a prime number?</t>
        </is>
      </c>
      <c r="D267" s="2" t="inlineStr">
        <is>
          <t>2 is the only even prime number.</t>
        </is>
      </c>
      <c r="E267" s="2" t="inlineStr">
        <is>
          <t>Every other even number is divisible by 2.</t>
        </is>
      </c>
      <c r="F267" s="5" t="n"/>
      <c r="G267" s="5" t="n"/>
      <c r="H267" s="5" t="n"/>
    </row>
    <row r="268">
      <c r="A268" s="2" t="inlineStr">
        <is>
          <t>C11-09</t>
        </is>
      </c>
      <c r="B268" s="2" t="inlineStr">
        <is>
          <t>c4-c11</t>
        </is>
      </c>
      <c r="C268" s="2" t="inlineStr">
        <is>
          <t>What is a prime number?</t>
        </is>
      </c>
      <c r="D268" s="2" t="inlineStr">
        <is>
          <t>Every other even number is divisible by 2.</t>
        </is>
      </c>
      <c r="E268" s="2" t="inlineStr">
        <is>
          <t>1 is not a prime number because it has only one positive factor, not two.</t>
        </is>
      </c>
      <c r="F268" s="5" t="n"/>
      <c r="G268" s="5" t="n"/>
      <c r="H268" s="5" t="n"/>
    </row>
    <row r="269">
      <c r="A269" s="2" t="inlineStr">
        <is>
          <t>C11-10</t>
        </is>
      </c>
      <c r="B269" s="2" t="inlineStr">
        <is>
          <t>c4-c11</t>
        </is>
      </c>
      <c r="C269" s="2" t="inlineStr">
        <is>
          <t>What is a prime number?</t>
        </is>
      </c>
      <c r="D269" s="2" t="inlineStr">
        <is>
          <t>1 is not a prime number because it has only one positive factor, not two.</t>
        </is>
      </c>
      <c r="E269" s="2" t="inlineStr">
        <is>
          <t>Suppose you want to check whether 17 is prime.</t>
        </is>
      </c>
      <c r="F269" s="5" t="n"/>
      <c r="G269" s="5" t="n"/>
      <c r="H269" s="5" t="n"/>
    </row>
    <row r="270">
      <c r="A270" s="2" t="inlineStr">
        <is>
          <t>C11-11</t>
        </is>
      </c>
      <c r="B270" s="2" t="inlineStr">
        <is>
          <t>c4-c11</t>
        </is>
      </c>
      <c r="C270" s="2" t="inlineStr">
        <is>
          <t>What is a prime number?</t>
        </is>
      </c>
      <c r="D270" s="2" t="inlineStr">
        <is>
          <t>Suppose you want to check whether 17 is prime.</t>
        </is>
      </c>
      <c r="E270" s="2" t="inlineStr">
        <is>
          <t>Try dividing 17 by 2.</t>
        </is>
      </c>
      <c r="F270" s="5" t="n"/>
      <c r="G270" s="5" t="n"/>
      <c r="H270" s="5" t="n"/>
    </row>
    <row r="271">
      <c r="A271" s="2" t="inlineStr">
        <is>
          <t>C11-12</t>
        </is>
      </c>
      <c r="B271" s="2" t="inlineStr">
        <is>
          <t>c4-c11</t>
        </is>
      </c>
      <c r="C271" s="2" t="inlineStr">
        <is>
          <t>What is a prime number?</t>
        </is>
      </c>
      <c r="D271" s="2" t="inlineStr">
        <is>
          <t>Try dividing 17 by 2.</t>
        </is>
      </c>
      <c r="E271" s="2" t="inlineStr">
        <is>
          <t>It doesn't divide evenly.</t>
        </is>
      </c>
      <c r="F271" s="5" t="n"/>
      <c r="G271" s="5" t="n"/>
      <c r="H271" s="5" t="n"/>
    </row>
    <row r="272">
      <c r="A272" s="2" t="inlineStr">
        <is>
          <t>C11-13</t>
        </is>
      </c>
      <c r="B272" s="2" t="inlineStr">
        <is>
          <t>c4-c11</t>
        </is>
      </c>
      <c r="C272" s="2" t="inlineStr">
        <is>
          <t>What is a prime number?</t>
        </is>
      </c>
      <c r="D272" s="2" t="inlineStr">
        <is>
          <t>It doesn't divide evenly.</t>
        </is>
      </c>
      <c r="E272" s="2" t="inlineStr">
        <is>
          <t>Try dividing 17 by 3.</t>
        </is>
      </c>
      <c r="F272" s="5" t="n"/>
      <c r="G272" s="5" t="n"/>
      <c r="H272" s="5" t="n"/>
    </row>
    <row r="273">
      <c r="A273" s="2" t="inlineStr">
        <is>
          <t>C11-14</t>
        </is>
      </c>
      <c r="B273" s="2" t="inlineStr">
        <is>
          <t>c4-c11</t>
        </is>
      </c>
      <c r="C273" s="2" t="inlineStr">
        <is>
          <t>What is a prime number?</t>
        </is>
      </c>
      <c r="D273" s="2" t="inlineStr">
        <is>
          <t>Try dividing 17 by 3.</t>
        </is>
      </c>
      <c r="E273" s="2" t="inlineStr">
        <is>
          <t>It doesn't divide evenly.</t>
        </is>
      </c>
      <c r="F273" s="5" t="n"/>
      <c r="G273" s="5" t="n"/>
      <c r="H273" s="5" t="n"/>
    </row>
    <row r="274">
      <c r="A274" s="2" t="inlineStr">
        <is>
          <t>C11-15</t>
        </is>
      </c>
      <c r="B274" s="2" t="inlineStr">
        <is>
          <t>c4-c11</t>
        </is>
      </c>
      <c r="C274" s="2" t="inlineStr">
        <is>
          <t>What is a prime number?</t>
        </is>
      </c>
      <c r="D274" s="2" t="inlineStr">
        <is>
          <t>It doesn't divide evenly.</t>
        </is>
      </c>
      <c r="E274" s="2" t="inlineStr">
        <is>
          <t>Try dividing 17 by 4.</t>
        </is>
      </c>
      <c r="F274" s="5" t="n"/>
      <c r="G274" s="5" t="n"/>
      <c r="H274" s="5" t="n"/>
    </row>
    <row r="275">
      <c r="A275" s="2" t="inlineStr">
        <is>
          <t>C11-16</t>
        </is>
      </c>
      <c r="B275" s="2" t="inlineStr">
        <is>
          <t>c4-c11</t>
        </is>
      </c>
      <c r="C275" s="2" t="inlineStr">
        <is>
          <t>What is a prime number?</t>
        </is>
      </c>
      <c r="D275" s="2" t="inlineStr">
        <is>
          <t>Try dividing 17 by 4.</t>
        </is>
      </c>
      <c r="E275" s="2" t="inlineStr">
        <is>
          <t>It doesn't divide evenly.</t>
        </is>
      </c>
      <c r="F275" s="5" t="n"/>
      <c r="G275" s="5" t="n"/>
      <c r="H275" s="5" t="n"/>
    </row>
    <row r="276">
      <c r="A276" s="2" t="inlineStr">
        <is>
          <t>C11-17</t>
        </is>
      </c>
      <c r="B276" s="2" t="inlineStr">
        <is>
          <t>c4-c11</t>
        </is>
      </c>
      <c r="C276" s="2" t="inlineStr">
        <is>
          <t>What is a prime number?</t>
        </is>
      </c>
      <c r="D276" s="2" t="inlineStr">
        <is>
          <t>It doesn't divide evenly.</t>
        </is>
      </c>
      <c r="E276" s="2" t="inlineStr">
        <is>
          <t>Since none of the possible divisors other than 1 and 17 divides it evenly, 17 is prime.</t>
        </is>
      </c>
      <c r="F276" s="5" t="n"/>
      <c r="G276" s="5" t="n"/>
      <c r="H276" s="5" t="n"/>
    </row>
    <row r="277">
      <c r="A277" s="2" t="inlineStr">
        <is>
          <t>C11-18</t>
        </is>
      </c>
      <c r="B277" s="2" t="inlineStr">
        <is>
          <t>c4-c11</t>
        </is>
      </c>
      <c r="C277" s="2" t="inlineStr">
        <is>
          <t>What is a prime number?</t>
        </is>
      </c>
      <c r="D277" s="2" t="inlineStr">
        <is>
          <t>Since none of the possible divisors other than 1 and 17 divides it evenly, 17 is prime.</t>
        </is>
      </c>
      <c r="E277" s="2" t="inlineStr">
        <is>
          <t>For larger numbers, you don't need to test every number.</t>
        </is>
      </c>
      <c r="F277" s="5" t="n"/>
      <c r="G277" s="5" t="n"/>
      <c r="H277" s="5" t="n"/>
    </row>
    <row r="278">
      <c r="A278" s="2" t="inlineStr">
        <is>
          <t>C11-19</t>
        </is>
      </c>
      <c r="B278" s="2" t="inlineStr">
        <is>
          <t>c4-c11</t>
        </is>
      </c>
      <c r="C278" s="2" t="inlineStr">
        <is>
          <t>What is a prime number?</t>
        </is>
      </c>
      <c r="D278" s="2" t="inlineStr">
        <is>
          <t>For larger numbers, you don't need to test every number.</t>
        </is>
      </c>
      <c r="E278" s="2" t="inlineStr">
        <is>
          <t>You only need to test possible divisors up to the square root of the number.</t>
        </is>
      </c>
      <c r="F278" s="5" t="n"/>
      <c r="G278" s="5" t="n"/>
      <c r="H278" s="5" t="n"/>
    </row>
    <row r="279">
      <c r="A279" s="2" t="inlineStr">
        <is>
          <t>C11-20</t>
        </is>
      </c>
      <c r="B279" s="2" t="inlineStr">
        <is>
          <t>c4-c11</t>
        </is>
      </c>
      <c r="C279" s="2" t="inlineStr">
        <is>
          <t>What is a prime number?</t>
        </is>
      </c>
      <c r="D279" s="2" t="inlineStr">
        <is>
          <t>You only need to test possible divisors up to the square root of the number.</t>
        </is>
      </c>
      <c r="E279" s="2" t="inlineStr">
        <is>
          <t>≈4.12, so checking 2, 3, and 4 is enough.</t>
        </is>
      </c>
      <c r="F279" s="5" t="n"/>
      <c r="G279" s="5" t="n"/>
      <c r="H279" s="5" t="n"/>
    </row>
    <row r="280">
      <c r="A280" s="2" t="inlineStr">
        <is>
          <t>C12-01</t>
        </is>
      </c>
      <c r="B280" s="2" t="inlineStr">
        <is>
          <t>c4-c12</t>
        </is>
      </c>
      <c r="C280" s="2" t="inlineStr">
        <is>
          <t>What are the requirements to become US president?</t>
        </is>
      </c>
      <c r="D280" s="2" t="inlineStr"/>
      <c r="E280" s="2" t="inlineStr">
        <is>
          <t>The U.S. Constitution establishes three basic requirements to become president.</t>
        </is>
      </c>
      <c r="F280" s="5" t="n"/>
      <c r="G280" s="5" t="n"/>
      <c r="H280" s="5" t="n"/>
    </row>
    <row r="281">
      <c r="A281" s="2" t="inlineStr">
        <is>
          <t>C12-02</t>
        </is>
      </c>
      <c r="B281" s="2" t="inlineStr">
        <is>
          <t>c4-c12</t>
        </is>
      </c>
      <c r="C281" s="2" t="inlineStr">
        <is>
          <t>What are the requirements to become US president?</t>
        </is>
      </c>
      <c r="D281" s="2" t="inlineStr">
        <is>
          <t>The U.S. Constitution establishes three basic requirements to become president.</t>
        </is>
      </c>
      <c r="E281" s="2" t="inlineStr">
        <is>
          <t>You must be a U.S. citizen from birth.</t>
        </is>
      </c>
      <c r="F281" s="5" t="n"/>
      <c r="G281" s="5" t="n"/>
      <c r="H281" s="5" t="n"/>
    </row>
    <row r="282">
      <c r="A282" s="2" t="inlineStr">
        <is>
          <t>C12-03</t>
        </is>
      </c>
      <c r="B282" s="2" t="inlineStr">
        <is>
          <t>c4-c12</t>
        </is>
      </c>
      <c r="C282" s="2" t="inlineStr">
        <is>
          <t>What are the requirements to become US president?</t>
        </is>
      </c>
      <c r="D282" s="2" t="inlineStr">
        <is>
          <t>You must be a U.S. citizen from birth.</t>
        </is>
      </c>
      <c r="E282" s="2" t="inlineStr">
        <is>
          <t>Becoming a U.S. citizen later through naturalization does not qualify someone for the presidency.</t>
        </is>
      </c>
      <c r="F282" s="5" t="n"/>
      <c r="G282" s="5" t="n"/>
      <c r="H282" s="5" t="n"/>
    </row>
    <row r="283">
      <c r="A283" s="2" t="inlineStr">
        <is>
          <t>C12-04</t>
        </is>
      </c>
      <c r="B283" s="2" t="inlineStr">
        <is>
          <t>c4-c12</t>
        </is>
      </c>
      <c r="C283" s="2" t="inlineStr">
        <is>
          <t>What are the requirements to become US president?</t>
        </is>
      </c>
      <c r="D283" s="2" t="inlineStr">
        <is>
          <t>Becoming a U.S. citizen later through naturalization does not qualify someone for the presidency.</t>
        </is>
      </c>
      <c r="E283" s="2" t="inlineStr">
        <is>
          <t>You must have reached your 35th birthday to be eligible.</t>
        </is>
      </c>
      <c r="F283" s="5" t="n"/>
      <c r="G283" s="5" t="n"/>
      <c r="H283" s="5" t="n"/>
    </row>
    <row r="284">
      <c r="A284" s="2" t="inlineStr">
        <is>
          <t>C12-05</t>
        </is>
      </c>
      <c r="B284" s="2" t="inlineStr">
        <is>
          <t>c4-c12</t>
        </is>
      </c>
      <c r="C284" s="2" t="inlineStr">
        <is>
          <t>What are the requirements to become US president?</t>
        </is>
      </c>
      <c r="D284" s="2" t="inlineStr">
        <is>
          <t>You must have reached your 35th birthday to be eligible.</t>
        </is>
      </c>
      <c r="E284" s="2" t="inlineStr">
        <is>
          <t>The Constitution requires 14 years of U.S. residency.</t>
        </is>
      </c>
      <c r="F284" s="5" t="n"/>
      <c r="G284" s="5" t="n"/>
      <c r="H284" s="5" t="n"/>
    </row>
    <row r="285">
      <c r="A285" s="2" t="inlineStr">
        <is>
          <t>C12-06</t>
        </is>
      </c>
      <c r="B285" s="2" t="inlineStr">
        <is>
          <t>c4-c12</t>
        </is>
      </c>
      <c r="C285" s="2" t="inlineStr">
        <is>
          <t>What are the requirements to become US president?</t>
        </is>
      </c>
      <c r="D285" s="2" t="inlineStr">
        <is>
          <t>The Constitution requires 14 years of U.S. residency.</t>
        </is>
      </c>
      <c r="E285" s="2" t="inlineStr">
        <is>
          <t>It does not expressly require all 14 years to be consecutive.</t>
        </is>
      </c>
      <c r="F285" s="5" t="n"/>
      <c r="G285" s="5" t="n"/>
      <c r="H285" s="5" t="n"/>
    </row>
    <row r="286">
      <c r="A286" s="2" t="inlineStr">
        <is>
          <t>C12-07</t>
        </is>
      </c>
      <c r="B286" s="2" t="inlineStr">
        <is>
          <t>c4-c12</t>
        </is>
      </c>
      <c r="C286" s="2" t="inlineStr">
        <is>
          <t>What are the requirements to become US president?</t>
        </is>
      </c>
      <c r="D286" s="2" t="inlineStr">
        <is>
          <t>It does not expressly require all 14 years to be consecutive.</t>
        </is>
      </c>
      <c r="E286" s="2" t="inlineStr">
        <is>
          <t>No. The Constitution does not require a college degree, prior political office, military service, or a particular level of wealth.</t>
        </is>
      </c>
      <c r="F286" s="5" t="n"/>
      <c r="G286" s="5" t="n"/>
      <c r="H286" s="5" t="n"/>
    </row>
    <row r="287">
      <c r="A287" s="2" t="inlineStr">
        <is>
          <t>C12-08</t>
        </is>
      </c>
      <c r="B287" s="2" t="inlineStr">
        <is>
          <t>c4-c12</t>
        </is>
      </c>
      <c r="C287" s="2" t="inlineStr">
        <is>
          <t>What are the requirements to become US president?</t>
        </is>
      </c>
      <c r="D287" s="2" t="inlineStr">
        <is>
          <t>No. The Constitution does not require a college degree, prior political office, military service, or a particular level of wealth.</t>
        </is>
      </c>
      <c r="E287" s="2" t="inlineStr">
        <is>
          <t>A candidate must meet the constitutional qualifications and follow the applicable election and campaign rules.</t>
        </is>
      </c>
      <c r="F287" s="5" t="n"/>
      <c r="G287" s="5" t="n"/>
      <c r="H287" s="5" t="n"/>
    </row>
    <row r="288">
      <c r="A288" s="2" t="inlineStr">
        <is>
          <t>C12-09</t>
        </is>
      </c>
      <c r="B288" s="2" t="inlineStr">
        <is>
          <t>c4-c12</t>
        </is>
      </c>
      <c r="C288" s="2" t="inlineStr">
        <is>
          <t>What are the requirements to become US president?</t>
        </is>
      </c>
      <c r="D288" s="2" t="inlineStr">
        <is>
          <t>A candidate must meet the constitutional qualifications and follow the applicable election and campaign rules.</t>
        </is>
      </c>
      <c r="E288" s="2" t="inlineStr">
        <is>
          <t>It depends on their citizenship status.</t>
        </is>
      </c>
      <c r="F288" s="5" t="n"/>
      <c r="G288" s="5" t="n"/>
      <c r="H288" s="5" t="n"/>
    </row>
    <row r="289">
      <c r="A289" s="2" t="inlineStr">
        <is>
          <t>C12-10</t>
        </is>
      </c>
      <c r="B289" s="2" t="inlineStr">
        <is>
          <t>c4-c12</t>
        </is>
      </c>
      <c r="C289" s="2" t="inlineStr">
        <is>
          <t>What are the requirements to become US president?</t>
        </is>
      </c>
      <c r="D289" s="2" t="inlineStr">
        <is>
          <t>It depends on their citizenship status.</t>
        </is>
      </c>
      <c r="E289" s="2" t="inlineStr">
        <is>
          <t>Someone who immigrates to the United States and later becomes a naturalized citizen generally cannot become president.</t>
        </is>
      </c>
      <c r="F289" s="5" t="n"/>
      <c r="G289" s="5" t="n"/>
      <c r="H289" s="5" t="n"/>
    </row>
    <row r="290">
      <c r="A290" s="2" t="inlineStr">
        <is>
          <t>C12-11</t>
        </is>
      </c>
      <c r="B290" s="2" t="inlineStr">
        <is>
          <t>c4-c12</t>
        </is>
      </c>
      <c r="C290" s="2" t="inlineStr">
        <is>
          <t>What are the requirements to become US president?</t>
        </is>
      </c>
      <c r="D290" s="2" t="inlineStr">
        <is>
          <t>Someone who immigrates to the United States and later becomes a naturalized citizen generally cannot become president.</t>
        </is>
      </c>
      <c r="E290" s="2" t="inlineStr">
        <is>
          <t>Someone born in the United States is generally a U.S. citizen at birth, subject to limited constitutional exceptions.</t>
        </is>
      </c>
      <c r="F290" s="5" t="n"/>
      <c r="G290" s="5" t="n"/>
      <c r="H290" s="5" t="n"/>
    </row>
    <row r="291">
      <c r="A291" s="2" t="inlineStr">
        <is>
          <t>C12-12</t>
        </is>
      </c>
      <c r="B291" s="2" t="inlineStr">
        <is>
          <t>c4-c12</t>
        </is>
      </c>
      <c r="C291" s="2" t="inlineStr">
        <is>
          <t>What are the requirements to become US president?</t>
        </is>
      </c>
      <c r="D291" s="2" t="inlineStr">
        <is>
          <t>Someone born in the United States is generally a U.S. citizen at birth, subject to limited constitutional exceptions.</t>
        </is>
      </c>
      <c r="E291" s="2" t="inlineStr">
        <is>
          <t>Someone born outside the United States to U.S. citizen parents may qualify, depending on the applicable citizenship laws and circumstances.</t>
        </is>
      </c>
      <c r="F291" s="5" t="n"/>
      <c r="G291" s="5" t="n"/>
      <c r="H291" s="5" t="n"/>
    </row>
    <row r="292">
      <c r="A292" s="2" t="inlineStr">
        <is>
          <t>C12-13</t>
        </is>
      </c>
      <c r="B292" s="2" t="inlineStr">
        <is>
          <t>c4-c12</t>
        </is>
      </c>
      <c r="C292" s="2" t="inlineStr">
        <is>
          <t>What are the requirements to become US president?</t>
        </is>
      </c>
      <c r="D292" s="2" t="inlineStr">
        <is>
          <t>Someone born outside the United States to U.S. citizen parents may qualify, depending on the applicable citizenship laws and circumstances.</t>
        </is>
      </c>
      <c r="E292" s="2" t="inlineStr">
        <is>
          <t>The legal meaning of “natural-born citizen” has some unresolved complexities in certain situations involving birth abroad.</t>
        </is>
      </c>
      <c r="F292" s="5" t="n"/>
      <c r="G292" s="5" t="n"/>
      <c r="H292" s="5" t="n"/>
    </row>
    <row r="293">
      <c r="A293" s="2" t="inlineStr">
        <is>
          <t>C12-14</t>
        </is>
      </c>
      <c r="B293" s="2" t="inlineStr">
        <is>
          <t>c4-c12</t>
        </is>
      </c>
      <c r="C293" s="2" t="inlineStr">
        <is>
          <t>What are the requirements to become US president?</t>
        </is>
      </c>
      <c r="D293" s="2" t="inlineStr">
        <is>
          <t>The legal meaning of “natural-born citizen” has some unresolved complexities in certain situations involving birth abroad.</t>
        </is>
      </c>
      <c r="E293" s="2" t="inlineStr">
        <is>
          <t>One final point: under the 22nd Amendment, a person generally cannot be elected president more than twice.</t>
        </is>
      </c>
      <c r="F293" s="5" t="n"/>
      <c r="G293" s="5" t="n"/>
      <c r="H293" s="5" t="n"/>
    </row>
    <row r="294">
      <c r="A294" s="2" t="inlineStr">
        <is>
          <t>C12-15</t>
        </is>
      </c>
      <c r="B294" s="2" t="inlineStr">
        <is>
          <t>c4-c12</t>
        </is>
      </c>
      <c r="C294" s="2" t="inlineStr">
        <is>
          <t>What are the requirements to become US president?</t>
        </is>
      </c>
      <c r="D294" s="2" t="inlineStr">
        <is>
          <t>One final point: under the 22nd Amendment, a person generally cannot be elected president more than twice.</t>
        </is>
      </c>
      <c r="E294" s="2" t="inlineStr">
        <is>
          <t>In short: You must be a natural-born U.S. citizen, at least 35 years old, and have resided in the United States for at least 14 years.</t>
        </is>
      </c>
      <c r="F294" s="5" t="n"/>
      <c r="G294" s="5" t="n"/>
      <c r="H294" s="5" t="n"/>
    </row>
    <row r="295">
      <c r="A295" s="2" t="inlineStr">
        <is>
          <t>C13-01</t>
        </is>
      </c>
      <c r="B295" s="2" t="inlineStr">
        <is>
          <t>c4-c13</t>
        </is>
      </c>
      <c r="C295" s="2" t="inlineStr">
        <is>
          <t>How do leap years work?</t>
        </is>
      </c>
      <c r="D295" s="2" t="inlineStr"/>
      <c r="E295" s="2" t="inlineStr">
        <is>
          <t>A leap year is a year with 366 days instead of the usual 365 days.</t>
        </is>
      </c>
      <c r="F295" s="5" t="n"/>
      <c r="G295" s="5" t="n"/>
      <c r="H295" s="5" t="n"/>
    </row>
    <row r="296">
      <c r="A296" s="2" t="inlineStr">
        <is>
          <t>C13-02</t>
        </is>
      </c>
      <c r="B296" s="2" t="inlineStr">
        <is>
          <t>c4-c13</t>
        </is>
      </c>
      <c r="C296" s="2" t="inlineStr">
        <is>
          <t>How do leap years work?</t>
        </is>
      </c>
      <c r="D296" s="2" t="inlineStr">
        <is>
          <t>A leap year is a year with 366 days instead of the usual 365 days.</t>
        </is>
      </c>
      <c r="E296" s="2" t="inlineStr">
        <is>
          <t>The extra day is added to February, making it February 29 instead of February 28.</t>
        </is>
      </c>
      <c r="F296" s="5" t="n"/>
      <c r="G296" s="5" t="n"/>
      <c r="H296" s="5" t="n"/>
    </row>
    <row r="297">
      <c r="A297" s="2" t="inlineStr">
        <is>
          <t>C13-03</t>
        </is>
      </c>
      <c r="B297" s="2" t="inlineStr">
        <is>
          <t>c4-c13</t>
        </is>
      </c>
      <c r="C297" s="2" t="inlineStr">
        <is>
          <t>How do leap years work?</t>
        </is>
      </c>
      <c r="D297" s="2" t="inlineStr">
        <is>
          <t>The extra day is added to February, making it February 29 instead of February 28.</t>
        </is>
      </c>
      <c r="E297" s="2" t="inlineStr">
        <is>
          <t>The Earth takes approximately 365.2422 days to orbit the Sun—not exactly 365 days.</t>
        </is>
      </c>
      <c r="F297" s="5" t="n"/>
      <c r="G297" s="5" t="n"/>
      <c r="H297" s="5" t="n"/>
    </row>
    <row r="298">
      <c r="A298" s="2" t="inlineStr">
        <is>
          <t>C13-04</t>
        </is>
      </c>
      <c r="B298" s="2" t="inlineStr">
        <is>
          <t>c4-c13</t>
        </is>
      </c>
      <c r="C298" s="2" t="inlineStr">
        <is>
          <t>How do leap years work?</t>
        </is>
      </c>
      <c r="D298" s="2" t="inlineStr">
        <is>
          <t>The Earth takes approximately 365.2422 days to orbit the Sun—not exactly 365 days.</t>
        </is>
      </c>
      <c r="E298" s="2" t="inlineStr">
        <is>
          <t>That extra fraction of a day adds up over time.</t>
        </is>
      </c>
      <c r="F298" s="5" t="n"/>
      <c r="G298" s="5" t="n"/>
      <c r="H298" s="5" t="n"/>
    </row>
    <row r="299">
      <c r="A299" s="2" t="inlineStr">
        <is>
          <t>C13-05</t>
        </is>
      </c>
      <c r="B299" s="2" t="inlineStr">
        <is>
          <t>c4-c13</t>
        </is>
      </c>
      <c r="C299" s="2" t="inlineStr">
        <is>
          <t>How do leap years work?</t>
        </is>
      </c>
      <c r="D299" s="2" t="inlineStr">
        <is>
          <t>That extra fraction of a day adds up over time.</t>
        </is>
      </c>
      <c r="E299" s="2" t="inlineStr">
        <is>
          <t>Without leap years, our calendar would gradually drift away from the seasons.</t>
        </is>
      </c>
      <c r="F299" s="5" t="n"/>
      <c r="G299" s="5" t="n"/>
      <c r="H299" s="5" t="n"/>
    </row>
    <row r="300">
      <c r="A300" s="2" t="inlineStr">
        <is>
          <t>C13-06</t>
        </is>
      </c>
      <c r="B300" s="2" t="inlineStr">
        <is>
          <t>c4-c13</t>
        </is>
      </c>
      <c r="C300" s="2" t="inlineStr">
        <is>
          <t>How do leap years work?</t>
        </is>
      </c>
      <c r="D300" s="2" t="inlineStr">
        <is>
          <t>Without leap years, our calendar would gradually drift away from the seasons.</t>
        </is>
      </c>
      <c r="E300" s="2" t="inlineStr">
        <is>
          <t>For example, after several decades, the calendar dates associated with spring and winter would no longer line up as expected.</t>
        </is>
      </c>
      <c r="F300" s="5" t="n"/>
      <c r="G300" s="5" t="n"/>
      <c r="H300" s="5" t="n"/>
    </row>
    <row r="301">
      <c r="A301" s="2" t="inlineStr">
        <is>
          <t>C13-07</t>
        </is>
      </c>
      <c r="B301" s="2" t="inlineStr">
        <is>
          <t>c4-c13</t>
        </is>
      </c>
      <c r="C301" s="2" t="inlineStr">
        <is>
          <t>How do leap years work?</t>
        </is>
      </c>
      <c r="D301" s="2" t="inlineStr">
        <is>
          <t>For example, after several decades, the calendar dates associated with spring and winter would no longer line up as expected.</t>
        </is>
      </c>
      <c r="E301" s="2" t="inlineStr">
        <is>
          <t>Leap years help keep our calendar aligned with Earth's orbit.</t>
        </is>
      </c>
      <c r="F301" s="5" t="n"/>
      <c r="G301" s="5" t="n"/>
      <c r="H301" s="5" t="n"/>
    </row>
    <row r="302">
      <c r="A302" s="2" t="inlineStr">
        <is>
          <t>C13-08</t>
        </is>
      </c>
      <c r="B302" s="2" t="inlineStr">
        <is>
          <t>c4-c13</t>
        </is>
      </c>
      <c r="C302" s="2" t="inlineStr">
        <is>
          <t>How do leap years work?</t>
        </is>
      </c>
      <c r="D302" s="2" t="inlineStr">
        <is>
          <t>Leap years help keep our calendar aligned with Earth's orbit.</t>
        </is>
      </c>
      <c r="E302" s="2" t="inlineStr">
        <is>
          <t>If the year is divisible by 4, it is usually a leap year.</t>
        </is>
      </c>
      <c r="F302" s="5" t="n"/>
      <c r="G302" s="5" t="n"/>
      <c r="H302" s="5" t="n"/>
    </row>
    <row r="303">
      <c r="A303" s="2" t="inlineStr">
        <is>
          <t>C13-09</t>
        </is>
      </c>
      <c r="B303" s="2" t="inlineStr">
        <is>
          <t>c4-c13</t>
        </is>
      </c>
      <c r="C303" s="2" t="inlineStr">
        <is>
          <t>How do leap years work?</t>
        </is>
      </c>
      <c r="D303" s="2" t="inlineStr">
        <is>
          <t>If the year is divisible by 4, it is usually a leap year.</t>
        </is>
      </c>
      <c r="E303" s="2" t="inlineStr">
        <is>
          <t>If the year is divisible by 100, it is not a leap year.</t>
        </is>
      </c>
      <c r="F303" s="5" t="n"/>
      <c r="G303" s="5" t="n"/>
      <c r="H303" s="5" t="n"/>
    </row>
    <row r="304">
      <c r="A304" s="2" t="inlineStr">
        <is>
          <t>C13-10</t>
        </is>
      </c>
      <c r="B304" s="2" t="inlineStr">
        <is>
          <t>c4-c13</t>
        </is>
      </c>
      <c r="C304" s="2" t="inlineStr">
        <is>
          <t>How do leap years work?</t>
        </is>
      </c>
      <c r="D304" s="2" t="inlineStr">
        <is>
          <t>If the year is divisible by 100, it is not a leap year.</t>
        </is>
      </c>
      <c r="E304" s="2" t="inlineStr">
        <is>
          <t>Exception: If the year is divisible by 400, it is a leap year.</t>
        </is>
      </c>
      <c r="F304" s="5" t="n"/>
      <c r="G304" s="5" t="n"/>
      <c r="H304" s="5" t="n"/>
    </row>
    <row r="305">
      <c r="A305" s="2" t="inlineStr">
        <is>
          <t>C13-11</t>
        </is>
      </c>
      <c r="B305" s="2" t="inlineStr">
        <is>
          <t>c4-c13</t>
        </is>
      </c>
      <c r="C305" s="2" t="inlineStr">
        <is>
          <t>How do leap years work?</t>
        </is>
      </c>
      <c r="D305" s="2" t="inlineStr">
        <is>
          <t>Exception: If the year is divisible by 400, it is a leap year.</t>
        </is>
      </c>
      <c r="E305" s="2" t="inlineStr">
        <is>
          <t>February has 29 days; the year has 366 days.</t>
        </is>
      </c>
      <c r="F305" s="5" t="n"/>
      <c r="G305" s="5" t="n"/>
      <c r="H305" s="5" t="n"/>
    </row>
    <row r="306">
      <c r="A306" s="2" t="inlineStr">
        <is>
          <t>C13-12</t>
        </is>
      </c>
      <c r="B306" s="2" t="inlineStr">
        <is>
          <t>c4-c13</t>
        </is>
      </c>
      <c r="C306" s="2" t="inlineStr">
        <is>
          <t>How do leap years work?</t>
        </is>
      </c>
      <c r="D306" s="2" t="inlineStr">
        <is>
          <t>February has 29 days; the year has 366 days.</t>
        </is>
      </c>
      <c r="E306" s="2" t="inlineStr">
        <is>
          <t>The key takeaway: Leap years happen roughly every four years, but the century-year exception keeps our calendar more accurately aligned with Earth's orbit around the Sun.</t>
        </is>
      </c>
      <c r="F306" s="5" t="n"/>
      <c r="G306" s="5" t="n"/>
      <c r="H306" s="5" t="n"/>
    </row>
    <row r="307">
      <c r="A307" s="2" t="inlineStr">
        <is>
          <t>C14-01</t>
        </is>
      </c>
      <c r="B307" s="2" t="inlineStr">
        <is>
          <t>c4-c14</t>
        </is>
      </c>
      <c r="C307" s="2" t="inlineStr">
        <is>
          <t>Does social media make people lonely?</t>
        </is>
      </c>
      <c r="D307" s="2" t="inlineStr"/>
      <c r="E307" s="2" t="inlineStr">
        <is>
          <t>Yes, sometimes—but it depends on how people use it.</t>
        </is>
      </c>
      <c r="F307" s="5" t="n"/>
      <c r="G307" s="5" t="n"/>
      <c r="H307" s="5" t="n"/>
    </row>
    <row r="308">
      <c r="A308" s="2" t="inlineStr">
        <is>
          <t>C14-02</t>
        </is>
      </c>
      <c r="B308" s="2" t="inlineStr">
        <is>
          <t>c4-c14</t>
        </is>
      </c>
      <c r="C308" s="2" t="inlineStr">
        <is>
          <t>Does social media make people lonely?</t>
        </is>
      </c>
      <c r="D308" s="2" t="inlineStr">
        <is>
          <t>Yes, sometimes—but it depends on how people use it.</t>
        </is>
      </c>
      <c r="E308" s="2" t="inlineStr">
        <is>
          <t>Research suggests that social media can help people feel connected, but certain patterns of use are associated with greater loneliness.</t>
        </is>
      </c>
      <c r="F308" s="5" t="n"/>
      <c r="G308" s="5" t="n"/>
      <c r="H308" s="5" t="n"/>
    </row>
    <row r="309">
      <c r="A309" s="2" t="inlineStr">
        <is>
          <t>C14-03</t>
        </is>
      </c>
      <c r="B309" s="2" t="inlineStr">
        <is>
          <t>c4-c14</t>
        </is>
      </c>
      <c r="C309" s="2" t="inlineStr">
        <is>
          <t>Does social media make people lonely?</t>
        </is>
      </c>
      <c r="D309" s="2" t="inlineStr">
        <is>
          <t>Research suggests that social media can help people feel connected, but certain patterns of use are associated with greater loneliness.</t>
        </is>
      </c>
      <c r="E309" s="2" t="inlineStr">
        <is>
          <t>Comparing yourself to others: Seeing people's vacations, relationships, and achievements can make you feel that your own life is less exciting.</t>
        </is>
      </c>
      <c r="F309" s="5" t="n"/>
      <c r="G309" s="5" t="n"/>
      <c r="H309" s="5" t="n"/>
    </row>
    <row r="310">
      <c r="A310" s="2" t="inlineStr">
        <is>
          <t>C14-04</t>
        </is>
      </c>
      <c r="B310" s="2" t="inlineStr">
        <is>
          <t>c4-c14</t>
        </is>
      </c>
      <c r="C310" s="2" t="inlineStr">
        <is>
          <t>Does social media make people lonely?</t>
        </is>
      </c>
      <c r="D310" s="2" t="inlineStr">
        <is>
          <t>Comparing yourself to others: Seeing people's vacations, relationships, and achievements can make you feel that your own life is less exciting.</t>
        </is>
      </c>
      <c r="E310" s="2" t="inlineStr">
        <is>
          <t>Replacing in-person interaction: Spending hours scrolling may leave less time for meaningful conversations and face-to-face relationships.</t>
        </is>
      </c>
      <c r="F310" s="5" t="n"/>
      <c r="G310" s="5" t="n"/>
      <c r="H310" s="5" t="n"/>
    </row>
    <row r="311">
      <c r="A311" s="2" t="inlineStr">
        <is>
          <t>C14-05</t>
        </is>
      </c>
      <c r="B311" s="2" t="inlineStr">
        <is>
          <t>c4-c14</t>
        </is>
      </c>
      <c r="C311" s="2" t="inlineStr">
        <is>
          <t>Does social media make people lonely?</t>
        </is>
      </c>
      <c r="D311" s="2" t="inlineStr">
        <is>
          <t>Replacing in-person interaction: Spending hours scrolling may leave less time for meaningful conversations and face-to-face relationships.</t>
        </is>
      </c>
      <c r="E311" s="2" t="inlineStr">
        <is>
          <t>Feeling excluded: Seeing photos of friends at an event you weren't invited to can make you feel left out.</t>
        </is>
      </c>
      <c r="F311" s="5" t="n"/>
      <c r="G311" s="5" t="n"/>
      <c r="H311" s="5" t="n"/>
    </row>
    <row r="312">
      <c r="A312" s="2" t="inlineStr">
        <is>
          <t>C14-06</t>
        </is>
      </c>
      <c r="B312" s="2" t="inlineStr">
        <is>
          <t>c4-c14</t>
        </is>
      </c>
      <c r="C312" s="2" t="inlineStr">
        <is>
          <t>Does social media make people lonely?</t>
        </is>
      </c>
      <c r="D312" s="2" t="inlineStr">
        <is>
          <t>Feeling excluded: Seeing photos of friends at an event you weren't invited to can make you feel left out.</t>
        </is>
      </c>
      <c r="E312" s="2" t="inlineStr">
        <is>
          <t>Maintaining relationships: You can stay in touch with family and friends who live far away.</t>
        </is>
      </c>
      <c r="F312" s="5" t="n"/>
      <c r="G312" s="5" t="n"/>
      <c r="H312" s="5" t="n"/>
    </row>
    <row r="313">
      <c r="A313" s="2" t="inlineStr">
        <is>
          <t>C14-07</t>
        </is>
      </c>
      <c r="B313" s="2" t="inlineStr">
        <is>
          <t>c4-c14</t>
        </is>
      </c>
      <c r="C313" s="2" t="inlineStr">
        <is>
          <t>Does social media make people lonely?</t>
        </is>
      </c>
      <c r="D313" s="2" t="inlineStr">
        <is>
          <t>Maintaining relationships: You can stay in touch with family and friends who live far away.</t>
        </is>
      </c>
      <c r="E313" s="2" t="inlineStr">
        <is>
          <t>Finding community: Online groups can connect you with people who share your interests.</t>
        </is>
      </c>
      <c r="F313" s="5" t="n"/>
      <c r="G313" s="5" t="n"/>
      <c r="H313" s="5" t="n"/>
    </row>
    <row r="314">
      <c r="A314" s="2" t="inlineStr">
        <is>
          <t>C14-08</t>
        </is>
      </c>
      <c r="B314" s="2" t="inlineStr">
        <is>
          <t>c4-c14</t>
        </is>
      </c>
      <c r="C314" s="2" t="inlineStr">
        <is>
          <t>Does social media make people lonely?</t>
        </is>
      </c>
      <c r="D314" s="2" t="inlineStr">
        <is>
          <t>Finding community: Online groups can connect you with people who share your interests.</t>
        </is>
      </c>
      <c r="E314" s="2" t="inlineStr">
        <is>
          <t>Getting support: Messaging someone when you're struggling can help you feel less alone.</t>
        </is>
      </c>
      <c r="F314" s="5" t="n"/>
      <c r="G314" s="5" t="n"/>
      <c r="H314" s="5" t="n"/>
    </row>
    <row r="315">
      <c r="A315" s="2" t="inlineStr">
        <is>
          <t>C14-09</t>
        </is>
      </c>
      <c r="B315" s="2" t="inlineStr">
        <is>
          <t>c4-c14</t>
        </is>
      </c>
      <c r="C315" s="2" t="inlineStr">
        <is>
          <t>Does social media make people lonely?</t>
        </is>
      </c>
      <c r="D315" s="2" t="inlineStr">
        <is>
          <t>Getting support: Messaging someone when you're struggling can help you feel less alone.</t>
        </is>
      </c>
      <c r="E315" s="2" t="inlineStr">
        <is>
          <t>A 2024 review in Annals of the New York Academy of Sciences found that the relationship between social media and loneliness is generally weak and that there is no clear evidence that social media itself causes loneliness.</t>
        </is>
      </c>
      <c r="F315" s="5" t="n"/>
      <c r="G315" s="5" t="n"/>
      <c r="H315" s="5" t="n"/>
    </row>
    <row r="316">
      <c r="A316" s="2" t="inlineStr">
        <is>
          <t>C14-10</t>
        </is>
      </c>
      <c r="B316" s="2" t="inlineStr">
        <is>
          <t>c4-c14</t>
        </is>
      </c>
      <c r="C316" s="2" t="inlineStr">
        <is>
          <t>Does social media make people lonely?</t>
        </is>
      </c>
      <c r="D316" s="2" t="inlineStr">
        <is>
          <t>A 2024 review in Annals of the New York Academy of Sciences found that the relationship between social media and loneliness is generally weak and that there is no clear evidence that social media itself causes loneliness.</t>
        </is>
      </c>
      <c r="E316" s="2" t="inlineStr">
        <is>
          <t>The quality and purpose of online interactions matter.</t>
        </is>
      </c>
      <c r="F316" s="5" t="n"/>
      <c r="G316" s="5" t="n"/>
      <c r="H316" s="5" t="n"/>
    </row>
    <row r="317">
      <c r="A317" s="2" t="inlineStr">
        <is>
          <t>C14-11</t>
        </is>
      </c>
      <c r="B317" s="2" t="inlineStr">
        <is>
          <t>c4-c14</t>
        </is>
      </c>
      <c r="C317" s="2" t="inlineStr">
        <is>
          <t>Does social media make people lonely?</t>
        </is>
      </c>
      <c r="D317" s="2" t="inlineStr">
        <is>
          <t>The quality and purpose of online interactions matter.</t>
        </is>
      </c>
      <c r="E317" s="2" t="inlineStr">
        <is>
          <t>The bottom line: Social media isn't automatically good or bad for your social life.</t>
        </is>
      </c>
      <c r="F317" s="5" t="n"/>
      <c r="G317" s="5" t="n"/>
      <c r="H317" s="5" t="n"/>
    </row>
    <row r="318">
      <c r="A318" s="2" t="inlineStr">
        <is>
          <t>C14-12</t>
        </is>
      </c>
      <c r="B318" s="2" t="inlineStr">
        <is>
          <t>c4-c14</t>
        </is>
      </c>
      <c r="C318" s="2" t="inlineStr">
        <is>
          <t>Does social media make people lonely?</t>
        </is>
      </c>
      <c r="D318" s="2" t="inlineStr">
        <is>
          <t>The bottom line: Social media isn't automatically good or bad for your social life.</t>
        </is>
      </c>
      <c r="E318" s="2" t="inlineStr">
        <is>
          <t>Using it to connect meaningfully with people can help, while constantly comparing yourself with others or using it compulsively may make you feel worse.</t>
        </is>
      </c>
      <c r="F318" s="5" t="n"/>
      <c r="G318" s="5" t="n"/>
      <c r="H318" s="5" t="n"/>
    </row>
    <row r="319">
      <c r="A319" s="2" t="inlineStr">
        <is>
          <t>C14-13</t>
        </is>
      </c>
      <c r="B319" s="2" t="inlineStr">
        <is>
          <t>c4-c14</t>
        </is>
      </c>
      <c r="C319" s="2" t="inlineStr">
        <is>
          <t>Does social media make people lonely?</t>
        </is>
      </c>
      <c r="D319" s="2" t="inlineStr">
        <is>
          <t>Using it to connect meaningfully with people can help, while constantly comparing yourself with others or using it compulsively may make you feel worse.</t>
        </is>
      </c>
      <c r="E319" s="2" t="inlineStr">
        <is>
          <t>The goal is not necessarily to spend less time online, but to make that time more meaningful.</t>
        </is>
      </c>
      <c r="F319" s="5" t="n"/>
      <c r="G319" s="5" t="n"/>
      <c r="H319" s="5" t="n"/>
    </row>
    <row r="320">
      <c r="A320" s="2" t="inlineStr">
        <is>
          <t>C15-01</t>
        </is>
      </c>
      <c r="B320" s="2" t="inlineStr">
        <is>
          <t>c4-c15</t>
        </is>
      </c>
      <c r="C320" s="2" t="inlineStr">
        <is>
          <t>Will AI replace software engineers?</t>
        </is>
      </c>
      <c r="D320" s="2" t="inlineStr"/>
      <c r="E320" s="2" t="inlineStr">
        <is>
          <t>AI will probably replace some software engineering tasks, but it is unlikely to eliminate the need for software engineers altogether in the near future.</t>
        </is>
      </c>
      <c r="F320" s="5" t="n"/>
      <c r="G320" s="5" t="n"/>
      <c r="H320" s="5" t="n"/>
    </row>
    <row r="321">
      <c r="A321" s="2" t="inlineStr">
        <is>
          <t>C15-02</t>
        </is>
      </c>
      <c r="B321" s="2" t="inlineStr">
        <is>
          <t>c4-c15</t>
        </is>
      </c>
      <c r="C321" s="2" t="inlineStr">
        <is>
          <t>Will AI replace software engineers?</t>
        </is>
      </c>
      <c r="D321" s="2" t="inlineStr">
        <is>
          <t>AI will probably replace some software engineering tasks, but it is unlikely to eliminate the need for software engineers altogether in the near future.</t>
        </is>
      </c>
      <c r="E321" s="2" t="inlineStr">
        <is>
          <t>The bigger change is that software engineers will increasingly use AI to build software faster, while employers may change the number of engineers they hire and the skills they expect.</t>
        </is>
      </c>
      <c r="F321" s="5" t="n"/>
      <c r="G321" s="5" t="n"/>
      <c r="H321" s="5" t="n"/>
    </row>
    <row r="322">
      <c r="A322" s="2" t="inlineStr">
        <is>
          <t>C15-03</t>
        </is>
      </c>
      <c r="B322" s="2" t="inlineStr">
        <is>
          <t>c4-c15</t>
        </is>
      </c>
      <c r="C322" s="2" t="inlineStr">
        <is>
          <t>Will AI replace software engineers?</t>
        </is>
      </c>
      <c r="D322" s="2" t="inlineStr">
        <is>
          <t>The bigger change is that software engineers will increasingly use AI to build software faster, while employers may change the number of engineers they hire and the skills they expect.</t>
        </is>
      </c>
      <c r="E322" s="2" t="inlineStr">
        <is>
          <t>Write code for common features and functions.</t>
        </is>
      </c>
      <c r="F322" s="5" t="n"/>
      <c r="G322" s="5" t="n"/>
      <c r="H322" s="5" t="n"/>
    </row>
    <row r="323">
      <c r="A323" s="2" t="inlineStr">
        <is>
          <t>C15-04</t>
        </is>
      </c>
      <c r="B323" s="2" t="inlineStr">
        <is>
          <t>c4-c15</t>
        </is>
      </c>
      <c r="C323" s="2" t="inlineStr">
        <is>
          <t>Will AI replace software engineers?</t>
        </is>
      </c>
      <c r="D323" s="2" t="inlineStr">
        <is>
          <t>Write code for common features and functions.</t>
        </is>
      </c>
      <c r="E323" s="2" t="inlineStr">
        <is>
          <t>Find bugs and suggest fixes.</t>
        </is>
      </c>
      <c r="F323" s="5" t="n"/>
      <c r="G323" s="5" t="n"/>
      <c r="H323" s="5" t="n"/>
    </row>
    <row r="324">
      <c r="A324" s="2" t="inlineStr">
        <is>
          <t>C15-05</t>
        </is>
      </c>
      <c r="B324" s="2" t="inlineStr">
        <is>
          <t>c4-c15</t>
        </is>
      </c>
      <c r="C324" s="2" t="inlineStr">
        <is>
          <t>Will AI replace software engineers?</t>
        </is>
      </c>
      <c r="D324" s="2" t="inlineStr">
        <is>
          <t>Find bugs and suggest fixes.</t>
        </is>
      </c>
      <c r="E324" s="2" t="inlineStr">
        <is>
          <t>Generate unit tests and documentation.</t>
        </is>
      </c>
      <c r="F324" s="5" t="n"/>
      <c r="G324" s="5" t="n"/>
      <c r="H324" s="5" t="n"/>
    </row>
    <row r="325">
      <c r="A325" s="2" t="inlineStr">
        <is>
          <t>C15-06</t>
        </is>
      </c>
      <c r="B325" s="2" t="inlineStr">
        <is>
          <t>c4-c15</t>
        </is>
      </c>
      <c r="C325" s="2" t="inlineStr">
        <is>
          <t>Will AI replace software engineers?</t>
        </is>
      </c>
      <c r="D325" s="2" t="inlineStr">
        <is>
          <t>Generate unit tests and documentation.</t>
        </is>
      </c>
      <c r="E325" s="2" t="inlineStr">
        <is>
          <t>Explain unfamiliar code and programming libraries.</t>
        </is>
      </c>
      <c r="F325" s="5" t="n"/>
      <c r="G325" s="5" t="n"/>
      <c r="H325" s="5" t="n"/>
    </row>
    <row r="326">
      <c r="A326" s="2" t="inlineStr">
        <is>
          <t>C15-07</t>
        </is>
      </c>
      <c r="B326" s="2" t="inlineStr">
        <is>
          <t>c4-c15</t>
        </is>
      </c>
      <c r="C326" s="2" t="inlineStr">
        <is>
          <t>Will AI replace software engineers?</t>
        </is>
      </c>
      <c r="D326" s="2" t="inlineStr">
        <is>
          <t>Explain unfamiliar code and programming libraries.</t>
        </is>
      </c>
      <c r="E326" s="2" t="inlineStr">
        <is>
          <t>Build prototypes and simple applications from written instructions.</t>
        </is>
      </c>
      <c r="F326" s="5" t="n"/>
      <c r="G326" s="5" t="n"/>
      <c r="H326" s="5" t="n"/>
    </row>
    <row r="327">
      <c r="A327" s="2" t="inlineStr">
        <is>
          <t>C15-08</t>
        </is>
      </c>
      <c r="B327" s="2" t="inlineStr">
        <is>
          <t>c4-c15</t>
        </is>
      </c>
      <c r="C327" s="2" t="inlineStr">
        <is>
          <t>Will AI replace software engineers?</t>
        </is>
      </c>
      <c r="D327" s="2" t="inlineStr">
        <is>
          <t>Build prototypes and simple applications from written instructions.</t>
        </is>
      </c>
      <c r="E327" s="2" t="inlineStr">
        <is>
          <t>For example, you could ask an AI tool to create a login page, connect it to a database, and write tests.</t>
        </is>
      </c>
      <c r="F327" s="5" t="n"/>
      <c r="G327" s="5" t="n"/>
      <c r="H327" s="5" t="n"/>
    </row>
    <row r="328">
      <c r="A328" s="2" t="inlineStr">
        <is>
          <t>C15-09</t>
        </is>
      </c>
      <c r="B328" s="2" t="inlineStr">
        <is>
          <t>c4-c15</t>
        </is>
      </c>
      <c r="C328" s="2" t="inlineStr">
        <is>
          <t>Will AI replace software engineers?</t>
        </is>
      </c>
      <c r="D328" s="2" t="inlineStr">
        <is>
          <t>For example, you could ask an AI tool to create a login page, connect it to a database, and write tests.</t>
        </is>
      </c>
      <c r="E328" s="2" t="inlineStr">
        <is>
          <t>It may generate much of the initial code—but that doesn't guarantee the application is secure, correct, or ready for real users.</t>
        </is>
      </c>
      <c r="F328" s="5" t="n"/>
      <c r="G328" s="5" t="n"/>
      <c r="H328" s="5" t="n"/>
    </row>
    <row r="329">
      <c r="A329" s="2" t="inlineStr">
        <is>
          <t>C15-10</t>
        </is>
      </c>
      <c r="B329" s="2" t="inlineStr">
        <is>
          <t>c4-c15</t>
        </is>
      </c>
      <c r="C329" s="2" t="inlineStr">
        <is>
          <t>Will AI replace software engineers?</t>
        </is>
      </c>
      <c r="D329" s="2" t="inlineStr">
        <is>
          <t>It may generate much of the initial code—but that doesn't guarantee the application is secure, correct, or ready for real users.</t>
        </is>
      </c>
      <c r="E329" s="2" t="inlineStr">
        <is>
          <t>Decide how databases, servers, APIs, and different parts of a system should work together.</t>
        </is>
      </c>
      <c r="F329" s="5" t="n"/>
      <c r="G329" s="5" t="n"/>
      <c r="H329" s="5" t="n"/>
    </row>
    <row r="330">
      <c r="A330" s="2" t="inlineStr">
        <is>
          <t>C15-11</t>
        </is>
      </c>
      <c r="B330" s="2" t="inlineStr">
        <is>
          <t>c4-c15</t>
        </is>
      </c>
      <c r="C330" s="2" t="inlineStr">
        <is>
          <t>Will AI replace software engineers?</t>
        </is>
      </c>
      <c r="D330" s="2" t="inlineStr">
        <is>
          <t>Decide how databases, servers, APIs, and different parts of a system should work together.</t>
        </is>
      </c>
      <c r="E330" s="2" t="inlineStr">
        <is>
          <t>Identify why something is broken and determine whether AI-generated code actually works.</t>
        </is>
      </c>
      <c r="F330" s="5" t="n"/>
      <c r="G330" s="5" t="n"/>
      <c r="H330" s="5" t="n"/>
    </row>
    <row r="331">
      <c r="A331" s="2" t="inlineStr">
        <is>
          <t>C15-12</t>
        </is>
      </c>
      <c r="B331" s="2" t="inlineStr">
        <is>
          <t>c4-c15</t>
        </is>
      </c>
      <c r="C331" s="2" t="inlineStr">
        <is>
          <t>Will AI replace software engineers?</t>
        </is>
      </c>
      <c r="D331" s="2" t="inlineStr">
        <is>
          <t>Identify why something is broken and determine whether AI-generated code actually works.</t>
        </is>
      </c>
      <c r="E331" s="2" t="inlineStr">
        <is>
          <t>Figure out what problem should be solved, which features matter, and what trade-offs are acceptable.</t>
        </is>
      </c>
      <c r="F331" s="5" t="n"/>
      <c r="G331" s="5" t="n"/>
      <c r="H331" s="5" t="n"/>
    </row>
    <row r="332">
      <c r="A332" s="2" t="inlineStr">
        <is>
          <t>C15-13</t>
        </is>
      </c>
      <c r="B332" s="2" t="inlineStr">
        <is>
          <t>c4-c15</t>
        </is>
      </c>
      <c r="C332" s="2" t="inlineStr">
        <is>
          <t>Will AI replace software engineers?</t>
        </is>
      </c>
      <c r="D332" s="2" t="inlineStr">
        <is>
          <t>Figure out what problem should be solved, which features matter, and what trade-offs are acceptable.</t>
        </is>
      </c>
      <c r="E332" s="2" t="inlineStr">
        <is>
          <t>Make sure systems protect user data, handle failures, and behave reliably in real-world situations.</t>
        </is>
      </c>
      <c r="F332" s="5" t="n"/>
      <c r="G332" s="5" t="n"/>
      <c r="H332" s="5" t="n"/>
    </row>
    <row r="333">
      <c r="A333" s="2" t="inlineStr">
        <is>
          <t>C15-14</t>
        </is>
      </c>
      <c r="B333" s="2" t="inlineStr">
        <is>
          <t>c4-c15</t>
        </is>
      </c>
      <c r="C333" s="2" t="inlineStr">
        <is>
          <t>Will AI replace software engineers?</t>
        </is>
      </c>
      <c r="D333" s="2" t="inlineStr">
        <is>
          <t>Make sure systems protect user data, handle failures, and behave reliably in real-world situations.</t>
        </is>
      </c>
      <c r="E333" s="2" t="inlineStr">
        <is>
          <t>AI can assist with all these tasks, too.</t>
        </is>
      </c>
      <c r="F333" s="5" t="n"/>
      <c r="G333" s="5" t="n"/>
      <c r="H333" s="5" t="n"/>
    </row>
    <row r="334">
      <c r="A334" s="2" t="inlineStr">
        <is>
          <t>C15-15</t>
        </is>
      </c>
      <c r="B334" s="2" t="inlineStr">
        <is>
          <t>c4-c15</t>
        </is>
      </c>
      <c r="C334" s="2" t="inlineStr">
        <is>
          <t>Will AI replace software engineers?</t>
        </is>
      </c>
      <c r="D334" s="2" t="inlineStr">
        <is>
          <t>AI can assist with all these tasks, too.</t>
        </is>
      </c>
      <c r="E334" s="2" t="inlineStr">
        <is>
          <t>The point is that generating code is only one part of building and maintaining reliable software.</t>
        </is>
      </c>
      <c r="F334" s="5" t="n"/>
      <c r="G334" s="5" t="n"/>
      <c r="H334" s="5" t="n"/>
    </row>
    <row r="335">
      <c r="A335" s="2" t="inlineStr">
        <is>
          <t>C15-16</t>
        </is>
      </c>
      <c r="B335" s="2" t="inlineStr">
        <is>
          <t>c4-c15</t>
        </is>
      </c>
      <c r="C335" s="2" t="inlineStr">
        <is>
          <t>Will AI replace software engineers?</t>
        </is>
      </c>
      <c r="D335" s="2" t="inlineStr">
        <is>
          <t>The point is that generating code is only one part of building and maintaining reliable software.</t>
        </is>
      </c>
      <c r="E335" s="2" t="inlineStr">
        <is>
          <t>The picture is mixed: AI is changing software work, and there are signs that entry-level hiring is becoming more challenging.</t>
        </is>
      </c>
      <c r="F335" s="5" t="n"/>
      <c r="G335" s="5" t="n"/>
      <c r="H335" s="5" t="n"/>
    </row>
    <row r="336">
      <c r="A336" s="2" t="inlineStr">
        <is>
          <t>C15-17</t>
        </is>
      </c>
      <c r="B336" s="2" t="inlineStr">
        <is>
          <t>c4-c15</t>
        </is>
      </c>
      <c r="C336" s="2" t="inlineStr">
        <is>
          <t>Will AI replace software engineers?</t>
        </is>
      </c>
      <c r="D336" s="2" t="inlineStr">
        <is>
          <t>The picture is mixed: AI is changing software work, and there are signs that entry-level hiring is becoming more challenging.</t>
        </is>
      </c>
      <c r="E336" s="2" t="inlineStr">
        <is>
          <t>Software jobs are still projected to grow.</t>
        </is>
      </c>
      <c r="F336" s="5" t="n"/>
      <c r="G336" s="5" t="n"/>
      <c r="H336" s="5" t="n"/>
    </row>
    <row r="337">
      <c r="A337" s="2" t="inlineStr">
        <is>
          <t>C15-18</t>
        </is>
      </c>
      <c r="B337" s="2" t="inlineStr">
        <is>
          <t>c4-c15</t>
        </is>
      </c>
      <c r="C337" s="2" t="inlineStr">
        <is>
          <t>Will AI replace software engineers?</t>
        </is>
      </c>
      <c r="D337" s="2" t="inlineStr">
        <is>
          <t>Software jobs are still projected to grow.</t>
        </is>
      </c>
      <c r="E337" s="2" t="inlineStr">
        <is>
          <t>The U.S. Bureau of Labor Statistics projected 15.8% growth in software developer employment from 2024 to 2034 in its July 2026 outlook.</t>
        </is>
      </c>
      <c r="F337" s="5" t="n"/>
      <c r="G337" s="5" t="n"/>
      <c r="H337" s="5" t="n"/>
    </row>
    <row r="338">
      <c r="A338" s="2" t="inlineStr">
        <is>
          <t>C15-19</t>
        </is>
      </c>
      <c r="B338" s="2" t="inlineStr">
        <is>
          <t>c4-c15</t>
        </is>
      </c>
      <c r="C338" s="2" t="inlineStr">
        <is>
          <t>Will AI replace software engineers?</t>
        </is>
      </c>
      <c r="D338" s="2" t="inlineStr">
        <is>
          <t>The U.S. Bureau of Labor Statistics projected 15.8% growth in software developer employment from 2024 to 2034 in its July 2026 outlook.</t>
        </is>
      </c>
      <c r="E338" s="2" t="inlineStr">
        <is>
          <t>Entry-level candidates may face more competition.</t>
        </is>
      </c>
      <c r="F338" s="5" t="n"/>
      <c r="G338" s="5" t="n"/>
      <c r="H338" s="5" t="n"/>
    </row>
    <row r="339">
      <c r="A339" s="2" t="inlineStr">
        <is>
          <t>C15-20</t>
        </is>
      </c>
      <c r="B339" s="2" t="inlineStr">
        <is>
          <t>c4-c15</t>
        </is>
      </c>
      <c r="C339" s="2" t="inlineStr">
        <is>
          <t>Will AI replace software engineers?</t>
        </is>
      </c>
      <c r="D339" s="2" t="inlineStr">
        <is>
          <t>Entry-level candidates may face more competition.</t>
        </is>
      </c>
      <c r="E339" s="2" t="inlineStr">
        <is>
          <t>A June 2026 study from the Institute of Labor Economics found a 14–15% relative decline in junior software developer vacancies compared with senior vacancies after ChatGPT's release.</t>
        </is>
      </c>
      <c r="F339" s="5" t="n"/>
      <c r="G339" s="5" t="n"/>
      <c r="H339" s="5" t="n"/>
    </row>
    <row r="340">
      <c r="A340" s="2" t="inlineStr">
        <is>
          <t>C15-21</t>
        </is>
      </c>
      <c r="B340" s="2" t="inlineStr">
        <is>
          <t>c4-c15</t>
        </is>
      </c>
      <c r="C340" s="2" t="inlineStr">
        <is>
          <t>Will AI replace software engineers?</t>
        </is>
      </c>
      <c r="D340" s="2" t="inlineStr">
        <is>
          <t>A June 2026 study from the Institute of Labor Economics found a 14–15% relative decline in junior software developer vacancies compared with senior vacancies after ChatGPT's release.</t>
        </is>
      </c>
      <c r="E340" s="2" t="inlineStr">
        <is>
          <t>This is an observed change in job postings, not proof that AI alone caused it.</t>
        </is>
      </c>
      <c r="F340" s="5" t="n"/>
      <c r="G340" s="5" t="n"/>
      <c r="H340" s="5" t="n"/>
    </row>
    <row r="341">
      <c r="A341" s="2" t="inlineStr">
        <is>
          <t>C15-22</t>
        </is>
      </c>
      <c r="B341" s="2" t="inlineStr">
        <is>
          <t>c4-c15</t>
        </is>
      </c>
      <c r="C341" s="2" t="inlineStr">
        <is>
          <t>Will AI replace software engineers?</t>
        </is>
      </c>
      <c r="D341" s="2" t="inlineStr">
        <is>
          <t>This is an observed change in job postings, not proof that AI alone caused it.</t>
        </is>
      </c>
      <c r="E341" s="2" t="inlineStr">
        <is>
          <t>AI can make experienced engineers more productive.</t>
        </is>
      </c>
      <c r="F341" s="5" t="n"/>
      <c r="G341" s="5" t="n"/>
      <c r="H341" s="5" t="n"/>
    </row>
    <row r="342">
      <c r="A342" s="2" t="inlineStr">
        <is>
          <t>C15-23</t>
        </is>
      </c>
      <c r="B342" s="2" t="inlineStr">
        <is>
          <t>c4-c15</t>
        </is>
      </c>
      <c r="C342" s="2" t="inlineStr">
        <is>
          <t>Will AI replace software engineers?</t>
        </is>
      </c>
      <c r="D342" s="2" t="inlineStr">
        <is>
          <t>AI can make experienced engineers more productive.</t>
        </is>
      </c>
      <c r="E342" s="2" t="inlineStr">
        <is>
          <t>A 2026 study published in Science found increased coding output among experienced developers using AI tools, but did not find statistically significant productivity gains among early-career developers in its dataset.</t>
        </is>
      </c>
      <c r="F342" s="5" t="n"/>
      <c r="G342" s="5" t="n"/>
      <c r="H342" s="5" t="n"/>
    </row>
    <row r="343">
      <c r="A343" s="2" t="inlineStr">
        <is>
          <t>C15-24</t>
        </is>
      </c>
      <c r="B343" s="2" t="inlineStr">
        <is>
          <t>c4-c15</t>
        </is>
      </c>
      <c r="C343" s="2" t="inlineStr">
        <is>
          <t>Will AI replace software engineers?</t>
        </is>
      </c>
      <c r="D343" s="2" t="inlineStr">
        <is>
          <t>A 2026 study published in Science found increased coding output among experienced developers using AI tools, but did not find statistically significant productivity gains among early-career developers in its dataset.</t>
        </is>
      </c>
      <c r="E343" s="2" t="inlineStr">
        <is>
          <t>These findings suggest that the profession isn't simply disappearing, but the path into it may be changing.</t>
        </is>
      </c>
      <c r="F343" s="5" t="n"/>
      <c r="G343" s="5" t="n"/>
      <c r="H343" s="5" t="n"/>
    </row>
    <row r="344">
      <c r="A344" s="2" t="inlineStr">
        <is>
          <t>C15-25</t>
        </is>
      </c>
      <c r="B344" s="2" t="inlineStr">
        <is>
          <t>c4-c15</t>
        </is>
      </c>
      <c r="C344" s="2" t="inlineStr">
        <is>
          <t>Will AI replace software engineers?</t>
        </is>
      </c>
      <c r="D344" s="2" t="inlineStr">
        <is>
          <t>These findings suggest that the profession isn't simply disappearing, but the path into it may be changing.</t>
        </is>
      </c>
      <c r="E344" s="2" t="inlineStr">
        <is>
          <t>If you're preparing for a software engineering career, focus on becoming an engineer who can use AI effectively—not someone who can only ask AI to write code.</t>
        </is>
      </c>
      <c r="F344" s="5" t="n"/>
      <c r="G344" s="5" t="n"/>
      <c r="H344" s="5" t="n"/>
    </row>
    <row r="345">
      <c r="A345" s="2" t="inlineStr">
        <is>
          <t>C15-26</t>
        </is>
      </c>
      <c r="B345" s="2" t="inlineStr">
        <is>
          <t>c4-c15</t>
        </is>
      </c>
      <c r="C345" s="2" t="inlineStr">
        <is>
          <t>Will AI replace software engineers?</t>
        </is>
      </c>
      <c r="D345" s="2" t="inlineStr">
        <is>
          <t>If you're preparing for a software engineering career, focus on becoming an engineer who can use AI effectively—not someone who can only ask AI to write code.</t>
        </is>
      </c>
      <c r="E345" s="2" t="inlineStr">
        <is>
          <t>Learn programming fundamentals.</t>
        </is>
      </c>
      <c r="F345" s="5" t="n"/>
      <c r="G345" s="5" t="n"/>
      <c r="H345" s="5" t="n"/>
    </row>
    <row r="346">
      <c r="A346" s="2" t="inlineStr">
        <is>
          <t>C15-27</t>
        </is>
      </c>
      <c r="B346" s="2" t="inlineStr">
        <is>
          <t>c4-c15</t>
        </is>
      </c>
      <c r="C346" s="2" t="inlineStr">
        <is>
          <t>Will AI replace software engineers?</t>
        </is>
      </c>
      <c r="D346" s="2" t="inlineStr">
        <is>
          <t>Learn programming fundamentals.</t>
        </is>
      </c>
      <c r="E346" s="2" t="inlineStr">
        <is>
          <t>Be comfortable with data structures, algorithms, debugging, and object-oriented programming.</t>
        </is>
      </c>
      <c r="F346" s="5" t="n"/>
      <c r="G346" s="5" t="n"/>
      <c r="H346" s="5" t="n"/>
    </row>
    <row r="347">
      <c r="A347" s="2" t="inlineStr">
        <is>
          <t>C15-28</t>
        </is>
      </c>
      <c r="B347" s="2" t="inlineStr">
        <is>
          <t>c4-c15</t>
        </is>
      </c>
      <c r="C347" s="2" t="inlineStr">
        <is>
          <t>Will AI replace software engineers?</t>
        </is>
      </c>
      <c r="D347" s="2" t="inlineStr">
        <is>
          <t>Be comfortable with data structures, algorithms, debugging, and object-oriented programming.</t>
        </is>
      </c>
      <c r="E347" s="2" t="inlineStr">
        <is>
          <t>Build complete projects.</t>
        </is>
      </c>
      <c r="F347" s="5" t="n"/>
      <c r="G347" s="5" t="n"/>
      <c r="H347" s="5" t="n"/>
    </row>
    <row r="348">
      <c r="A348" s="2" t="inlineStr">
        <is>
          <t>C15-29</t>
        </is>
      </c>
      <c r="B348" s="2" t="inlineStr">
        <is>
          <t>c4-c15</t>
        </is>
      </c>
      <c r="C348" s="2" t="inlineStr">
        <is>
          <t>Will AI replace software engineers?</t>
        </is>
      </c>
      <c r="D348" s="2" t="inlineStr">
        <is>
          <t>Build complete projects.</t>
        </is>
      </c>
      <c r="E348" s="2" t="inlineStr">
        <is>
          <t>Learn how to connect a frontend, backend, database, and API into a working application.</t>
        </is>
      </c>
      <c r="F348" s="5" t="n"/>
      <c r="G348" s="5" t="n"/>
      <c r="H348" s="5" t="n"/>
    </row>
    <row r="349">
      <c r="A349" s="2" t="inlineStr">
        <is>
          <t>C15-30</t>
        </is>
      </c>
      <c r="B349" s="2" t="inlineStr">
        <is>
          <t>c4-c15</t>
        </is>
      </c>
      <c r="C349" s="2" t="inlineStr">
        <is>
          <t>Will AI replace software engineers?</t>
        </is>
      </c>
      <c r="D349" s="2" t="inlineStr">
        <is>
          <t>Learn how to connect a frontend, backend, database, and API into a working application.</t>
        </is>
      </c>
      <c r="E349" s="2" t="inlineStr">
        <is>
          <t>Learn system design.</t>
        </is>
      </c>
      <c r="F349" s="5" t="n"/>
      <c r="G349" s="5" t="n"/>
      <c r="H349" s="5" t="n"/>
    </row>
    <row r="350">
      <c r="A350" s="2" t="inlineStr">
        <is>
          <t>C15-31</t>
        </is>
      </c>
      <c r="B350" s="2" t="inlineStr">
        <is>
          <t>c4-c15</t>
        </is>
      </c>
      <c r="C350" s="2" t="inlineStr">
        <is>
          <t>Will AI replace software engineers?</t>
        </is>
      </c>
      <c r="D350" s="2" t="inlineStr">
        <is>
          <t>Learn system design.</t>
        </is>
      </c>
      <c r="E350" s="2" t="inlineStr">
        <is>
          <t>Understand how to make applications reliable, secure, and scalable.</t>
        </is>
      </c>
      <c r="F350" s="5" t="n"/>
      <c r="G350" s="5" t="n"/>
      <c r="H350" s="5" t="n"/>
    </row>
    <row r="351">
      <c r="A351" s="2" t="inlineStr">
        <is>
          <t>C15-32</t>
        </is>
      </c>
      <c r="B351" s="2" t="inlineStr">
        <is>
          <t>c4-c15</t>
        </is>
      </c>
      <c r="C351" s="2" t="inlineStr">
        <is>
          <t>Will AI replace software engineers?</t>
        </is>
      </c>
      <c r="D351" s="2" t="inlineStr">
        <is>
          <t>Understand how to make applications reliable, secure, and scalable.</t>
        </is>
      </c>
      <c r="E351" s="2" t="inlineStr">
        <is>
          <t>Use AI as a tool, not a substitute for understanding.</t>
        </is>
      </c>
      <c r="F351" s="5" t="n"/>
      <c r="G351" s="5" t="n"/>
      <c r="H351" s="5" t="n"/>
    </row>
    <row r="352">
      <c r="A352" s="2" t="inlineStr">
        <is>
          <t>C15-33</t>
        </is>
      </c>
      <c r="B352" s="2" t="inlineStr">
        <is>
          <t>c4-c15</t>
        </is>
      </c>
      <c r="C352" s="2" t="inlineStr">
        <is>
          <t>Will AI replace software engineers?</t>
        </is>
      </c>
      <c r="D352" s="2" t="inlineStr">
        <is>
          <t>Use AI as a tool, not a substitute for understanding.</t>
        </is>
      </c>
      <c r="E352" s="2" t="inlineStr">
        <is>
          <t>Ask it to explain its code, test your own solutions, and help you investigate bugs.</t>
        </is>
      </c>
      <c r="F352" s="5" t="n"/>
      <c r="G352" s="5" t="n"/>
      <c r="H352" s="5" t="n"/>
    </row>
    <row r="353">
      <c r="A353" s="2" t="inlineStr">
        <is>
          <t>C15-34</t>
        </is>
      </c>
      <c r="B353" s="2" t="inlineStr">
        <is>
          <t>c4-c15</t>
        </is>
      </c>
      <c r="C353" s="2" t="inlineStr">
        <is>
          <t>Will AI replace software engineers?</t>
        </is>
      </c>
      <c r="D353" s="2" t="inlineStr">
        <is>
          <t>Ask it to explain its code, test your own solutions, and help you investigate bugs.</t>
        </is>
      </c>
      <c r="E353" s="2" t="inlineStr">
        <is>
          <t>Make sure you can explain and modify the result without relying entirely on AI.</t>
        </is>
      </c>
      <c r="F353" s="5" t="n"/>
      <c r="G353" s="5" t="n"/>
      <c r="H353" s="5" t="n"/>
    </row>
    <row r="354">
      <c r="A354" s="2" t="inlineStr">
        <is>
          <t>C15-35</t>
        </is>
      </c>
      <c r="B354" s="2" t="inlineStr">
        <is>
          <t>c4-c15</t>
        </is>
      </c>
      <c r="C354" s="2" t="inlineStr">
        <is>
          <t>Will AI replace software engineers?</t>
        </is>
      </c>
      <c r="D354" s="2" t="inlineStr">
        <is>
          <t>Make sure you can explain and modify the result without relying entirely on AI.</t>
        </is>
      </c>
      <c r="E354" s="2" t="inlineStr">
        <is>
          <t>Practice communicating technical decisions.</t>
        </is>
      </c>
      <c r="F354" s="5" t="n"/>
      <c r="G354" s="5" t="n"/>
      <c r="H354" s="5" t="n"/>
    </row>
    <row r="355">
      <c r="A355" s="2" t="inlineStr">
        <is>
          <t>C15-36</t>
        </is>
      </c>
      <c r="B355" s="2" t="inlineStr">
        <is>
          <t>c4-c15</t>
        </is>
      </c>
      <c r="C355" s="2" t="inlineStr">
        <is>
          <t>Will AI replace software engineers?</t>
        </is>
      </c>
      <c r="D355" s="2" t="inlineStr">
        <is>
          <t>Practice communicating technical decisions.</t>
        </is>
      </c>
      <c r="E355" s="2" t="inlineStr">
        <is>
          <t>Employers need engineers who can explain trade-offs, work with teammates, and understand user needs.</t>
        </is>
      </c>
      <c r="F355" s="5" t="n"/>
      <c r="G355" s="5" t="n"/>
      <c r="H355" s="5" t="n"/>
    </row>
    <row r="356">
      <c r="A356" s="2" t="inlineStr">
        <is>
          <t>C15-37</t>
        </is>
      </c>
      <c r="B356" s="2" t="inlineStr">
        <is>
          <t>c4-c15</t>
        </is>
      </c>
      <c r="C356" s="2" t="inlineStr">
        <is>
          <t>Will AI replace software engineers?</t>
        </is>
      </c>
      <c r="D356" s="2" t="inlineStr">
        <is>
          <t>Employers need engineers who can explain trade-offs, work with teammates, and understand user needs.</t>
        </is>
      </c>
      <c r="E356" s="2" t="inlineStr">
        <is>
          <t>I wouldn't recommend abandoning software engineering because of AI.</t>
        </is>
      </c>
      <c r="F356" s="5" t="n"/>
      <c r="G356" s="5" t="n"/>
      <c r="H356" s="5" t="n"/>
    </row>
    <row r="357">
      <c r="A357" s="2" t="inlineStr">
        <is>
          <t>C15-38</t>
        </is>
      </c>
      <c r="B357" s="2" t="inlineStr">
        <is>
          <t>c4-c15</t>
        </is>
      </c>
      <c r="C357" s="2" t="inlineStr">
        <is>
          <t>Will AI replace software engineers?</t>
        </is>
      </c>
      <c r="D357" s="2" t="inlineStr">
        <is>
          <t>I wouldn't recommend abandoning software engineering because of AI.</t>
        </is>
      </c>
      <c r="E357" s="2" t="inlineStr">
        <is>
          <t>I would recommend taking AI seriously and adapting to it.</t>
        </is>
      </c>
      <c r="F357" s="5" t="n"/>
      <c r="G357" s="5" t="n"/>
      <c r="H357" s="5" t="n"/>
    </row>
    <row r="358">
      <c r="A358" s="2" t="inlineStr">
        <is>
          <t>C15-39</t>
        </is>
      </c>
      <c r="B358" s="2" t="inlineStr">
        <is>
          <t>c4-c15</t>
        </is>
      </c>
      <c r="C358" s="2" t="inlineStr">
        <is>
          <t>Will AI replace software engineers?</t>
        </is>
      </c>
      <c r="D358" s="2" t="inlineStr">
        <is>
          <t>I would recommend taking AI seriously and adapting to it.</t>
        </is>
      </c>
      <c r="E358" s="2" t="inlineStr">
        <is>
          <t>Routine coding may become less valuable on its own, while problem-solving, engineering judgment, and the ability to build dependable systems become increasingly important.</t>
        </is>
      </c>
      <c r="F358" s="5" t="n"/>
      <c r="G358" s="5" t="n"/>
      <c r="H358" s="5" t="n"/>
    </row>
    <row r="359">
      <c r="A359" s="2" t="inlineStr">
        <is>
          <t>C15-40</t>
        </is>
      </c>
      <c r="B359" s="2" t="inlineStr">
        <is>
          <t>c4-c15</t>
        </is>
      </c>
      <c r="C359" s="2" t="inlineStr">
        <is>
          <t>Will AI replace software engineers?</t>
        </is>
      </c>
      <c r="D359" s="2" t="inlineStr">
        <is>
          <t>Routine coding may become less valuable on its own, while problem-solving, engineering judgment, and the ability to build dependable systems become increasingly important.</t>
        </is>
      </c>
      <c r="E359" s="2" t="inlineStr">
        <is>
          <t>The biggest risk may not be that AI replaces every software engineer.</t>
        </is>
      </c>
      <c r="F359" s="5" t="n"/>
      <c r="G359" s="5" t="n"/>
      <c r="H359" s="5" t="n"/>
    </row>
    <row r="360">
      <c r="A360" s="2" t="inlineStr">
        <is>
          <t>C15-41</t>
        </is>
      </c>
      <c r="B360" s="2" t="inlineStr">
        <is>
          <t>c4-c15</t>
        </is>
      </c>
      <c r="C360" s="2" t="inlineStr">
        <is>
          <t>Will AI replace software engineers?</t>
        </is>
      </c>
      <c r="D360" s="2" t="inlineStr">
        <is>
          <t>The biggest risk may not be that AI replaces every software engineer.</t>
        </is>
      </c>
      <c r="E360" s="2" t="inlineStr">
        <is>
          <t>It may be that companies need fewer people for certain tasks and expect each engineer to accomplish more, making it harder for beginners to get their first opportunity.</t>
        </is>
      </c>
      <c r="F360" s="5" t="n"/>
      <c r="G360" s="5" t="n"/>
      <c r="H360" s="5" t="n"/>
    </row>
    <row r="361">
      <c r="A361" s="2" t="inlineStr">
        <is>
          <t>C15-42</t>
        </is>
      </c>
      <c r="B361" s="2" t="inlineStr">
        <is>
          <t>c4-c15</t>
        </is>
      </c>
      <c r="C361" s="2" t="inlineStr">
        <is>
          <t>Will AI replace software engineers?</t>
        </is>
      </c>
      <c r="D361" s="2" t="inlineStr">
        <is>
          <t>It may be that companies need fewer people for certain tasks and expect each engineer to accomplish more, making it harder for beginners to get their first opportunity.</t>
        </is>
      </c>
      <c r="E361" s="2" t="inlineStr">
        <is>
          <t>The exact long-term outcome remains uncertain.</t>
        </is>
      </c>
      <c r="F361" s="5" t="n"/>
      <c r="G361" s="5" t="n"/>
      <c r="H361" s="5" t="n"/>
    </row>
    <row r="362">
      <c r="A362" s="2" t="inlineStr">
        <is>
          <t>C16-01</t>
        </is>
      </c>
      <c r="B362" s="2" t="inlineStr">
        <is>
          <t>c4-c16</t>
        </is>
      </c>
      <c r="C362" s="2" t="inlineStr">
        <is>
          <t>Do multivitamins work?</t>
        </is>
      </c>
      <c r="D362" s="2" t="inlineStr"/>
      <c r="E362" s="2" t="inlineStr">
        <is>
          <t>Sometimes, but they are not a magic solution for better health.</t>
        </is>
      </c>
      <c r="F362" s="5" t="n"/>
      <c r="G362" s="5" t="n"/>
      <c r="H362" s="5" t="n"/>
    </row>
    <row r="363">
      <c r="A363" s="2" t="inlineStr">
        <is>
          <t>C16-02</t>
        </is>
      </c>
      <c r="B363" s="2" t="inlineStr">
        <is>
          <t>c4-c16</t>
        </is>
      </c>
      <c r="C363" s="2" t="inlineStr">
        <is>
          <t>Do multivitamins work?</t>
        </is>
      </c>
      <c r="D363" s="2" t="inlineStr">
        <is>
          <t>Sometimes, but they are not a magic solution for better health.</t>
        </is>
      </c>
      <c r="E363" s="2" t="inlineStr">
        <is>
          <t>Research from the U.S. Preventive Services Task Force found insufficient evidence to determine whether multivitamins prevent heart disease or cancer in generally healthy adults.</t>
        </is>
      </c>
      <c r="F363" s="5" t="n"/>
      <c r="G363" s="5" t="n"/>
      <c r="H363" s="5" t="n"/>
    </row>
    <row r="364">
      <c r="A364" s="2" t="inlineStr">
        <is>
          <t>C16-03</t>
        </is>
      </c>
      <c r="B364" s="2" t="inlineStr">
        <is>
          <t>c4-c16</t>
        </is>
      </c>
      <c r="C364" s="2" t="inlineStr">
        <is>
          <t>Do multivitamins work?</t>
        </is>
      </c>
      <c r="D364" s="2" t="inlineStr">
        <is>
          <t>Research from the U.S. Preventive Services Task Force found insufficient evidence to determine whether multivitamins prevent heart disease or cancer in generally healthy adults.</t>
        </is>
      </c>
      <c r="E364" s="2" t="inlineStr">
        <is>
          <t>Most studies have found little or no effect on preventing these diseases or extending life.</t>
        </is>
      </c>
      <c r="F364" s="5" t="n"/>
      <c r="G364" s="5" t="n"/>
      <c r="H364" s="5" t="n"/>
    </row>
    <row r="365">
      <c r="A365" s="2" t="inlineStr">
        <is>
          <t>C16-04</t>
        </is>
      </c>
      <c r="B365" s="2" t="inlineStr">
        <is>
          <t>c4-c16</t>
        </is>
      </c>
      <c r="C365" s="2" t="inlineStr">
        <is>
          <t>Do multivitamins work?</t>
        </is>
      </c>
      <c r="D365" s="2" t="inlineStr">
        <is>
          <t>Most studies have found little or no effect on preventing these diseases or extending life.</t>
        </is>
      </c>
      <c r="E365" s="2" t="inlineStr">
        <is>
          <t>Nutrient deficiencies: They can help when your diet does not provide enough of certain vitamins or minerals.</t>
        </is>
      </c>
      <c r="F365" s="5" t="n"/>
      <c r="G365" s="5" t="n"/>
      <c r="H365" s="5" t="n"/>
    </row>
    <row r="366">
      <c r="A366" s="2" t="inlineStr">
        <is>
          <t>C16-05</t>
        </is>
      </c>
      <c r="B366" s="2" t="inlineStr">
        <is>
          <t>c4-c16</t>
        </is>
      </c>
      <c r="C366" s="2" t="inlineStr">
        <is>
          <t>Do multivitamins work?</t>
        </is>
      </c>
      <c r="D366" s="2" t="inlineStr">
        <is>
          <t>Nutrient deficiencies: They can help when your diet does not provide enough of certain vitamins or minerals.</t>
        </is>
      </c>
      <c r="E366" s="2" t="inlineStr">
        <is>
          <t>Restricted diets: People who avoid certain food groups may need supplements to fill nutritional gaps.</t>
        </is>
      </c>
      <c r="F366" s="5" t="n"/>
      <c r="G366" s="5" t="n"/>
      <c r="H366" s="5" t="n"/>
    </row>
    <row r="367">
      <c r="A367" s="2" t="inlineStr">
        <is>
          <t>C16-06</t>
        </is>
      </c>
      <c r="B367" s="2" t="inlineStr">
        <is>
          <t>c4-c16</t>
        </is>
      </c>
      <c r="C367" s="2" t="inlineStr">
        <is>
          <t>Do multivitamins work?</t>
        </is>
      </c>
      <c r="D367" s="2" t="inlineStr">
        <is>
          <t>Restricted diets: People who avoid certain food groups may need supplements to fill nutritional gaps.</t>
        </is>
      </c>
      <c r="E367" s="2" t="inlineStr">
        <is>
          <t>Specific life stages or medical needs: Some people benefit from particular supplements, depending on their circumstances.</t>
        </is>
      </c>
      <c r="F367" s="5" t="n"/>
      <c r="G367" s="5" t="n"/>
      <c r="H367" s="5" t="n"/>
    </row>
    <row r="368">
      <c r="A368" s="2" t="inlineStr">
        <is>
          <t>C16-07</t>
        </is>
      </c>
      <c r="B368" s="2" t="inlineStr">
        <is>
          <t>c4-c16</t>
        </is>
      </c>
      <c r="C368" s="2" t="inlineStr">
        <is>
          <t>Do multivitamins work?</t>
        </is>
      </c>
      <c r="D368" s="2" t="inlineStr">
        <is>
          <t>Specific life stages or medical needs: Some people benefit from particular supplements, depending on their circumstances.</t>
        </is>
      </c>
      <c r="E368" s="2" t="inlineStr">
        <is>
          <t>Taking excessive amounts of certain vitamins can be harmful, and some supplements can interact with medications.</t>
        </is>
      </c>
      <c r="F368" s="5" t="n"/>
      <c r="G368" s="5" t="n"/>
      <c r="H368" s="5" t="n"/>
    </row>
    <row r="369">
      <c r="A369" s="2" t="inlineStr">
        <is>
          <t>C16-08</t>
        </is>
      </c>
      <c r="B369" s="2" t="inlineStr">
        <is>
          <t>c4-c16</t>
        </is>
      </c>
      <c r="C369" s="2" t="inlineStr">
        <is>
          <t>Do multivitamins work?</t>
        </is>
      </c>
      <c r="D369" s="2" t="inlineStr">
        <is>
          <t>Taking excessive amounts of certain vitamins can be harmful, and some supplements can interact with medications.</t>
        </is>
      </c>
      <c r="E369" s="2" t="inlineStr">
        <is>
          <t>More is not necessarily better.</t>
        </is>
      </c>
      <c r="F369" s="5" t="n"/>
      <c r="G369" s="5" t="n"/>
      <c r="H369" s="5" t="n"/>
    </row>
    <row r="370">
      <c r="A370" s="2" t="inlineStr">
        <is>
          <t>C16-09</t>
        </is>
      </c>
      <c r="B370" s="2" t="inlineStr">
        <is>
          <t>c4-c16</t>
        </is>
      </c>
      <c r="C370" s="2" t="inlineStr">
        <is>
          <t>Do multivitamins work?</t>
        </is>
      </c>
      <c r="D370" s="2" t="inlineStr">
        <is>
          <t>More is not necessarily better.</t>
        </is>
      </c>
      <c r="E370" s="2" t="inlineStr">
        <is>
          <t>A balanced diet is generally the best foundation for getting essential nutrients.</t>
        </is>
      </c>
      <c r="F370" s="5" t="n"/>
      <c r="G370" s="5" t="n"/>
      <c r="H370" s="5" t="n"/>
    </row>
    <row r="371">
      <c r="A371" s="2" t="inlineStr">
        <is>
          <t>C16-10</t>
        </is>
      </c>
      <c r="B371" s="2" t="inlineStr">
        <is>
          <t>c4-c16</t>
        </is>
      </c>
      <c r="C371" s="2" t="inlineStr">
        <is>
          <t>Do multivitamins work?</t>
        </is>
      </c>
      <c r="D371" s="2" t="inlineStr">
        <is>
          <t>A balanced diet is generally the best foundation for getting essential nutrients.</t>
        </is>
      </c>
      <c r="E371" s="2" t="inlineStr">
        <is>
          <t>Multivitamins can help fill specific gaps, but taking them every day does not guarantee that you will be healthier or live longer.</t>
        </is>
      </c>
      <c r="F371" s="5" t="n"/>
      <c r="G371" s="5" t="n"/>
      <c r="H371" s="5" t="n"/>
    </row>
    <row r="372">
      <c r="A372" s="2" t="inlineStr">
        <is>
          <t>C16-11</t>
        </is>
      </c>
      <c r="B372" s="2" t="inlineStr">
        <is>
          <t>c4-c16</t>
        </is>
      </c>
      <c r="C372" s="2" t="inlineStr">
        <is>
          <t>Do multivitamins work?</t>
        </is>
      </c>
      <c r="D372" s="2" t="inlineStr">
        <is>
          <t>Multivitamins can help fill specific gaps, but taking them every day does not guarantee that you will be healthier or live longer.</t>
        </is>
      </c>
      <c r="E372" s="2" t="inlineStr">
        <is>
          <t>The key takeaway: Take vitamins to address a nutritional need, rather than assuming that more vitamins automatically mean better health.</t>
        </is>
      </c>
      <c r="F372" s="5" t="n"/>
      <c r="G372" s="5" t="n"/>
      <c r="H372" s="5" t="n"/>
    </row>
  </sheetData>
  <dataValidations count="1">
    <dataValidation sqref="F2:G372" showDropDown="0" showInputMessage="0" showErrorMessage="0" allowBlank="1" type="list">
      <formula1>"met,not_met,unsure"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1"/>
  <sheetViews>
    <sheetView workbookViewId="0">
      <pane ySplit="1" topLeftCell="A2" activePane="bottomLeft" state="frozen"/>
      <selection pane="bottomLeft" activeCell="A1" sqref="A1"/>
    </sheetView>
  </sheetViews>
  <sheetFormatPr baseColWidth="8" defaultRowHeight="15"/>
  <cols>
    <col width="10" customWidth="1" min="1" max="1"/>
    <col width="80" customWidth="1" min="2" max="2"/>
    <col width="12" customWidth="1" min="3" max="3"/>
    <col width="12" customWidth="1" min="4" max="4"/>
    <col width="30" customWidth="1" min="5" max="5"/>
  </cols>
  <sheetData>
    <row r="1">
      <c r="A1" s="4" t="inlineStr">
        <is>
          <t>Row ID</t>
        </is>
      </c>
      <c r="B1" s="4" t="inlineStr">
        <is>
          <t>Sentence</t>
        </is>
      </c>
      <c r="C1" s="4" t="inlineStr">
        <is>
          <t>Gideon C4</t>
        </is>
      </c>
      <c r="D1" s="4" t="inlineStr">
        <is>
          <t>Suning C4</t>
        </is>
      </c>
      <c r="E1" s="4" t="inlineStr">
        <is>
          <t>Notes</t>
        </is>
      </c>
    </row>
    <row r="2">
      <c r="A2" s="2" t="inlineStr">
        <is>
          <t>S001</t>
        </is>
      </c>
      <c r="B2" s="2" t="inlineStr">
        <is>
          <t>Inflation can hit lower-income households harder because they spend more of their income on essentials.</t>
        </is>
      </c>
      <c r="C2" s="5" t="n"/>
      <c r="D2" s="5" t="n"/>
      <c r="E2" s="5" t="n"/>
    </row>
    <row r="3">
      <c r="A3" s="2" t="inlineStr">
        <is>
          <t>S002</t>
        </is>
      </c>
      <c r="B3" s="2" t="inlineStr">
        <is>
          <t>The myth that we only use 10% of our brains is still widespread.</t>
        </is>
      </c>
      <c r="C3" s="5" t="n"/>
      <c r="D3" s="5" t="n"/>
      <c r="E3" s="5" t="n"/>
    </row>
    <row r="4">
      <c r="A4" s="2" t="inlineStr">
        <is>
          <t>S003</t>
        </is>
      </c>
      <c r="B4" s="2" t="inlineStr">
        <is>
          <t>The stock market always goes up over time.</t>
        </is>
      </c>
      <c r="C4" s="5" t="n"/>
      <c r="D4" s="5" t="n"/>
      <c r="E4" s="5" t="n"/>
    </row>
    <row r="5">
      <c r="A5" s="2" t="inlineStr">
        <is>
          <t>S004</t>
        </is>
      </c>
      <c r="B5" s="2" t="inlineStr">
        <is>
          <t>Every US state has two senators.</t>
        </is>
      </c>
      <c r="C5" s="5" t="n"/>
      <c r="D5" s="5" t="n"/>
      <c r="E5" s="5" t="n"/>
    </row>
    <row r="6">
      <c r="A6" s="2" t="inlineStr">
        <is>
          <t>S005</t>
        </is>
      </c>
      <c r="B6" s="2" t="inlineStr">
        <is>
          <t>Many people meet their fluid needs without counting glasses of water.</t>
        </is>
      </c>
      <c r="C6" s="5" t="n"/>
      <c r="D6" s="5" t="n"/>
      <c r="E6" s="5" t="n"/>
    </row>
    <row r="7">
      <c r="A7" s="2" t="inlineStr">
        <is>
          <t>S006</t>
        </is>
      </c>
      <c r="B7" s="2" t="inlineStr">
        <is>
          <t>Some surveys suggest Gen Z workers value flexibility more than earlier generations did.</t>
        </is>
      </c>
      <c r="C7" s="5" t="n"/>
      <c r="D7" s="5" t="n"/>
      <c r="E7" s="5" t="n"/>
    </row>
    <row r="8">
      <c r="A8" s="2" t="inlineStr">
        <is>
          <t>S007</t>
        </is>
      </c>
      <c r="B8" s="2" t="inlineStr">
        <is>
          <t>Students caught cheating can face serious academic penalties.</t>
        </is>
      </c>
      <c r="C8" s="5" t="n"/>
      <c r="D8" s="5" t="n"/>
      <c r="E8" s="5" t="n"/>
    </row>
    <row r="9">
      <c r="A9" s="2" t="inlineStr">
        <is>
          <t>S008</t>
        </is>
      </c>
      <c r="B9" s="2" t="inlineStr">
        <is>
          <t>Learning to code can be useful for some children, depending on their interests.</t>
        </is>
      </c>
      <c r="C9" s="5" t="n"/>
      <c r="D9" s="5" t="n"/>
      <c r="E9" s="5" t="n"/>
    </row>
    <row r="10">
      <c r="A10" s="2" t="inlineStr">
        <is>
          <t>S009</t>
        </is>
      </c>
      <c r="B10" s="2" t="inlineStr">
        <is>
          <t>Exercise usually improves sleep quality.</t>
        </is>
      </c>
      <c r="C10" s="5" t="n"/>
      <c r="D10" s="5" t="n"/>
      <c r="E10" s="5" t="n"/>
    </row>
    <row r="11">
      <c r="A11" s="2" t="inlineStr">
        <is>
          <t>S010</t>
        </is>
      </c>
      <c r="B11" s="2" t="inlineStr">
        <is>
          <t>Exercise always improves mood.</t>
        </is>
      </c>
      <c r="C11" s="5" t="n"/>
      <c r="D11" s="5" t="n"/>
      <c r="E11" s="5" t="n"/>
    </row>
    <row r="12">
      <c r="A12" s="2" t="inlineStr">
        <is>
          <t>S011</t>
        </is>
      </c>
      <c r="B12" s="2" t="inlineStr">
        <is>
          <t>Regular exercise often improves mood, according to many studies.</t>
        </is>
      </c>
      <c r="C12" s="5" t="n"/>
      <c r="D12" s="5" t="n"/>
      <c r="E12" s="5" t="n"/>
    </row>
    <row r="13">
      <c r="A13" s="2" t="inlineStr">
        <is>
          <t>S012</t>
        </is>
      </c>
      <c r="B13" s="2" t="inlineStr">
        <is>
          <t>Some tasks in many jobs could be automated in the coming decades.</t>
        </is>
      </c>
      <c r="C13" s="5" t="n"/>
      <c r="D13" s="5" t="n"/>
      <c r="E13" s="5" t="n"/>
    </row>
    <row r="14">
      <c r="A14" s="2" t="inlineStr">
        <is>
          <t>S013</t>
        </is>
      </c>
      <c r="B14" s="2" t="inlineStr">
        <is>
          <t>Nobody uses cash anymore.</t>
        </is>
      </c>
      <c r="C14" s="5" t="n"/>
      <c r="D14" s="5" t="n"/>
      <c r="E14" s="5" t="n"/>
    </row>
    <row r="15">
      <c r="A15" s="2" t="inlineStr">
        <is>
          <t>S014</t>
        </is>
      </c>
      <c r="B15" s="2" t="inlineStr">
        <is>
          <t>Humans cannot breathe underwater without equipment.</t>
        </is>
      </c>
      <c r="C15" s="5" t="n"/>
      <c r="D15" s="5" t="n"/>
      <c r="E15" s="5" t="n"/>
    </row>
    <row r="16">
      <c r="A16" s="2" t="inlineStr">
        <is>
          <t>S015</t>
        </is>
      </c>
      <c r="B16" s="2" t="inlineStr">
        <is>
          <t>Men are better at math than women.</t>
        </is>
      </c>
      <c r="C16" s="5" t="n"/>
      <c r="D16" s="5" t="n"/>
      <c r="E16" s="5" t="n"/>
    </row>
    <row r="17">
      <c r="A17" s="2" t="inlineStr">
        <is>
          <t>S016</t>
        </is>
      </c>
      <c r="B17" s="2" t="inlineStr">
        <is>
          <t>Public schools are failing students.</t>
        </is>
      </c>
      <c r="C17" s="5" t="n"/>
      <c r="D17" s="5" t="n"/>
      <c r="E17" s="5" t="n"/>
    </row>
    <row r="18">
      <c r="A18" s="2" t="inlineStr">
        <is>
          <t>S017</t>
        </is>
      </c>
      <c r="B18" s="2" t="inlineStr">
        <is>
          <t>Recycling some materials, like aluminum, saves energy compared with making them new.</t>
        </is>
      </c>
      <c r="C18" s="5" t="n"/>
      <c r="D18" s="5" t="n"/>
      <c r="E18" s="5" t="n"/>
    </row>
    <row r="19">
      <c r="A19" s="2" t="inlineStr">
        <is>
          <t>S018</t>
        </is>
      </c>
      <c r="B19" s="2" t="inlineStr">
        <is>
          <t>Teenagers don't care about politics.</t>
        </is>
      </c>
      <c r="C19" s="5" t="n"/>
      <c r="D19" s="5" t="n"/>
      <c r="E19" s="5" t="n"/>
    </row>
    <row r="20">
      <c r="A20" s="2" t="inlineStr">
        <is>
          <t>S019</t>
        </is>
      </c>
      <c r="B20" s="2" t="inlineStr">
        <is>
          <t>Some research links city living to higher stress for certain people.</t>
        </is>
      </c>
      <c r="C20" s="5" t="n"/>
      <c r="D20" s="5" t="n"/>
      <c r="E20" s="5" t="n"/>
    </row>
    <row r="21">
      <c r="A21" s="2" t="inlineStr">
        <is>
          <t>S020</t>
        </is>
      </c>
      <c r="B21" s="2" t="inlineStr">
        <is>
          <t>The ad claimed the product works for everyone.</t>
        </is>
      </c>
      <c r="C21" s="5" t="n"/>
      <c r="D21" s="5" t="n"/>
      <c r="E21" s="5" t="n"/>
    </row>
    <row r="22">
      <c r="A22" s="2" t="inlineStr">
        <is>
          <t>S021</t>
        </is>
      </c>
      <c r="B22" s="2" t="inlineStr">
        <is>
          <t>Night owls may struggle with early school and work schedules.</t>
        </is>
      </c>
      <c r="C22" s="5" t="n"/>
      <c r="D22" s="5" t="n"/>
      <c r="E22" s="5" t="n"/>
    </row>
    <row r="23">
      <c r="A23" s="2" t="inlineStr">
        <is>
          <t>S022</t>
        </is>
      </c>
      <c r="B23" s="2" t="inlineStr">
        <is>
          <t>Electric cars can suit drivers who have home charging and predictable commutes.</t>
        </is>
      </c>
      <c r="C23" s="5" t="n"/>
      <c r="D23" s="5" t="n"/>
      <c r="E23" s="5" t="n"/>
    </row>
    <row r="24">
      <c r="A24" s="2" t="inlineStr">
        <is>
          <t>S023</t>
        </is>
      </c>
      <c r="B24" s="2" t="inlineStr">
        <is>
          <t>Small businesses always fail within five years.</t>
        </is>
      </c>
      <c r="C24" s="5" t="n"/>
      <c r="D24" s="5" t="n"/>
      <c r="E24" s="5" t="n"/>
    </row>
    <row r="25">
      <c r="A25" s="2" t="inlineStr">
        <is>
          <t>S024</t>
        </is>
      </c>
      <c r="B25" s="2" t="inlineStr">
        <is>
          <t>Critics argue that social media is always harmful to teenagers.</t>
        </is>
      </c>
      <c r="C25" s="5" t="n"/>
      <c r="D25" s="5" t="n"/>
      <c r="E25" s="5" t="n"/>
    </row>
    <row r="26">
      <c r="A26" s="2" t="inlineStr">
        <is>
          <t>S025</t>
        </is>
      </c>
      <c r="B26" s="2" t="inlineStr">
        <is>
          <t>Meditation cures anxiety.</t>
        </is>
      </c>
      <c r="C26" s="5" t="n"/>
      <c r="D26" s="5" t="n"/>
      <c r="E26" s="5" t="n"/>
    </row>
    <row r="27">
      <c r="A27" s="2" t="inlineStr">
        <is>
          <t>S026</t>
        </is>
      </c>
      <c r="B27" s="2" t="inlineStr">
        <is>
          <t>Recycling makes no difference.</t>
        </is>
      </c>
      <c r="C27" s="5" t="n"/>
      <c r="D27" s="5" t="n"/>
      <c r="E27" s="5" t="n"/>
    </row>
    <row r="28">
      <c r="A28" s="2" t="inlineStr">
        <is>
          <t>S027</t>
        </is>
      </c>
      <c r="B28" s="2" t="inlineStr">
        <is>
          <t>Every triangle's angles add up to 180 degrees in flat geometry.</t>
        </is>
      </c>
      <c r="C28" s="5" t="n"/>
      <c r="D28" s="5" t="n"/>
      <c r="E28" s="5" t="n"/>
    </row>
    <row r="29">
      <c r="A29" s="2" t="inlineStr">
        <is>
          <t>S028</t>
        </is>
      </c>
      <c r="B29" s="2" t="inlineStr">
        <is>
          <t>Every respondent in the 2023 survey was over 18.</t>
        </is>
      </c>
      <c r="C29" s="5" t="n"/>
      <c r="D29" s="5" t="n"/>
      <c r="E29" s="5" t="n"/>
    </row>
    <row r="30">
      <c r="A30" s="2" t="inlineStr">
        <is>
          <t>S029</t>
        </is>
      </c>
      <c r="B30" s="2" t="inlineStr">
        <is>
          <t>The senator said that immigrants never pay taxes, a claim fact-checkers rated false.</t>
        </is>
      </c>
      <c r="C30" s="5" t="n"/>
      <c r="D30" s="5" t="n"/>
      <c r="E30" s="5" t="n"/>
    </row>
    <row r="31">
      <c r="A31" s="2" t="inlineStr">
        <is>
          <t>S030</t>
        </is>
      </c>
      <c r="B31" s="2" t="inlineStr">
        <is>
          <t>The US stock market has risen over most long periods, though it has also had long declines.</t>
        </is>
      </c>
      <c r="C31" s="5" t="n"/>
      <c r="D31" s="5" t="n"/>
      <c r="E31" s="5" t="n"/>
    </row>
    <row r="32">
      <c r="A32" s="2" t="inlineStr">
        <is>
          <t>S031</t>
        </is>
      </c>
      <c r="B32" s="2" t="inlineStr">
        <is>
          <t>None of the 12 patients in the trial had side effects.</t>
        </is>
      </c>
      <c r="C32" s="5" t="n"/>
      <c r="D32" s="5" t="n"/>
      <c r="E32" s="5" t="n"/>
    </row>
    <row r="33">
      <c r="A33" s="2" t="inlineStr">
        <is>
          <t>S032</t>
        </is>
      </c>
      <c r="B33" s="2" t="inlineStr">
        <is>
          <t>Everyone needs eight glasses of water a day.</t>
        </is>
      </c>
      <c r="C33" s="5" t="n"/>
      <c r="D33" s="5" t="n"/>
      <c r="E33" s="5" t="n"/>
    </row>
    <row r="34">
      <c r="A34" s="2" t="inlineStr">
        <is>
          <t>S033</t>
        </is>
      </c>
      <c r="B34" s="2" t="inlineStr">
        <is>
          <t>Cash use has declined in the US, though many people still use it.</t>
        </is>
      </c>
      <c r="C34" s="5" t="n"/>
      <c r="D34" s="5" t="n"/>
      <c r="E34" s="5" t="n"/>
    </row>
    <row r="35">
      <c r="A35" s="2" t="inlineStr">
        <is>
          <t>S034</t>
        </is>
      </c>
      <c r="B35" s="2" t="inlineStr">
        <is>
          <t>Incomes in Silicon Valley are high on average, but many residents struggle with housing costs.</t>
        </is>
      </c>
      <c r="C35" s="5" t="n"/>
      <c r="D35" s="5" t="n"/>
      <c r="E35" s="5" t="n"/>
    </row>
    <row r="36">
      <c r="A36" s="2" t="inlineStr">
        <is>
          <t>S035</t>
        </is>
      </c>
      <c r="B36" s="2" t="inlineStr">
        <is>
          <t>Coffee may lower the risk of type 2 diabetes for some people.</t>
        </is>
      </c>
      <c r="C36" s="5" t="n"/>
      <c r="D36" s="5" t="n"/>
      <c r="E36" s="5" t="n"/>
    </row>
    <row r="37">
      <c r="A37" s="2" t="inlineStr">
        <is>
          <t>S036</t>
        </is>
      </c>
      <c r="B37" s="2" t="inlineStr">
        <is>
          <t>Rich countries are always happier.</t>
        </is>
      </c>
      <c r="C37" s="5" t="n"/>
      <c r="D37" s="5" t="n"/>
      <c r="E37" s="5" t="n"/>
    </row>
    <row r="38">
      <c r="A38" s="2" t="inlineStr">
        <is>
          <t>S037</t>
        </is>
      </c>
      <c r="B38" s="2" t="inlineStr">
        <is>
          <t>All politicians are corrupt.</t>
        </is>
      </c>
      <c r="C38" s="5" t="n"/>
      <c r="D38" s="5" t="n"/>
      <c r="E38" s="5" t="n"/>
    </row>
    <row r="39">
      <c r="A39" s="2" t="inlineStr">
        <is>
          <t>S038</t>
        </is>
      </c>
      <c r="B39" s="2" t="inlineStr">
        <is>
          <t>Some studies have linked vegetarian diets to lower heart disease risk.</t>
        </is>
      </c>
      <c r="C39" s="5" t="n"/>
      <c r="D39" s="5" t="n"/>
      <c r="E39" s="5" t="n"/>
    </row>
    <row r="40">
      <c r="A40" s="2" t="inlineStr">
        <is>
          <t>S039</t>
        </is>
      </c>
      <c r="B40" s="2" t="inlineStr">
        <is>
          <t>Older workers can't learn new technology.</t>
        </is>
      </c>
      <c r="C40" s="5" t="n"/>
      <c r="D40" s="5" t="n"/>
      <c r="E40" s="5" t="n"/>
    </row>
    <row r="41">
      <c r="A41" s="2" t="inlineStr">
        <is>
          <t>S040</t>
        </is>
      </c>
      <c r="B41" s="2" t="inlineStr">
        <is>
          <t>Inflation hurts everyone equally.</t>
        </is>
      </c>
      <c r="C41" s="5" t="n"/>
      <c r="D41" s="5" t="n"/>
      <c r="E41" s="5" t="n"/>
    </row>
    <row r="42">
      <c r="A42" s="2" t="inlineStr">
        <is>
          <t>S041</t>
        </is>
      </c>
      <c r="B42" s="2" t="inlineStr">
        <is>
          <t>Opponents claimed the law would destroy all small businesses.</t>
        </is>
      </c>
      <c r="C42" s="5" t="n"/>
      <c r="D42" s="5" t="n"/>
      <c r="E42" s="5" t="n"/>
    </row>
    <row r="43">
      <c r="A43" s="2" t="inlineStr">
        <is>
          <t>S042</t>
        </is>
      </c>
      <c r="B43" s="2" t="inlineStr">
        <is>
          <t>Natural remedies are completely safe.</t>
        </is>
      </c>
      <c r="C43" s="5" t="n"/>
      <c r="D43" s="5" t="n"/>
      <c r="E43" s="5" t="n"/>
    </row>
    <row r="44">
      <c r="A44" s="2" t="inlineStr">
        <is>
          <t>S043</t>
        </is>
      </c>
      <c r="B44" s="2" t="inlineStr">
        <is>
          <t>Electric cars are the best choice for every driver.</t>
        </is>
      </c>
      <c r="C44" s="5" t="n"/>
      <c r="D44" s="5" t="n"/>
      <c r="E44" s="5" t="n"/>
    </row>
    <row r="45">
      <c r="A45" s="2" t="inlineStr">
        <is>
          <t>S044</t>
        </is>
      </c>
      <c r="B45" s="2" t="inlineStr">
        <is>
          <t>All squares are rectangles.</t>
        </is>
      </c>
      <c r="C45" s="5" t="n"/>
      <c r="D45" s="5" t="n"/>
      <c r="E45" s="5" t="n"/>
    </row>
    <row r="46">
      <c r="A46" s="2" t="inlineStr">
        <is>
          <t>S045</t>
        </is>
      </c>
      <c r="B46" s="2" t="inlineStr">
        <is>
          <t>Few people read the terms and conditions in full, according to some surveys.</t>
        </is>
      </c>
      <c r="C46" s="5" t="n"/>
      <c r="D46" s="5" t="n"/>
      <c r="E46" s="5" t="n"/>
    </row>
    <row r="47">
      <c r="A47" s="2" t="inlineStr">
        <is>
          <t>S046</t>
        </is>
      </c>
      <c r="B47" s="2" t="inlineStr">
        <is>
          <t>Antibiotics treat many bacterial infections but do not work against viruses.</t>
        </is>
      </c>
      <c r="C47" s="5" t="n"/>
      <c r="D47" s="5" t="n"/>
      <c r="E47" s="5" t="n"/>
    </row>
    <row r="48">
      <c r="A48" s="2" t="inlineStr">
        <is>
          <t>S047</t>
        </is>
      </c>
      <c r="B48" s="2" t="inlineStr">
        <is>
          <t>Some older workers take longer to adopt new technology, while many adapt quickly.</t>
        </is>
      </c>
      <c r="C48" s="5" t="n"/>
      <c r="D48" s="5" t="n"/>
      <c r="E48" s="5" t="n"/>
    </row>
    <row r="49">
      <c r="A49" s="2" t="inlineStr">
        <is>
          <t>S048</t>
        </is>
      </c>
      <c r="B49" s="2" t="inlineStr">
        <is>
          <t>Every job will be automated.</t>
        </is>
      </c>
      <c r="C49" s="5" t="n"/>
      <c r="D49" s="5" t="n"/>
      <c r="E49" s="5" t="n"/>
    </row>
    <row r="50">
      <c r="A50" s="2" t="inlineStr">
        <is>
          <t>S049</t>
        </is>
      </c>
      <c r="B50" s="2" t="inlineStr">
        <is>
          <t>Online classes are worse than in-person classes.</t>
        </is>
      </c>
      <c r="C50" s="5" t="n"/>
      <c r="D50" s="5" t="n"/>
      <c r="E50" s="5" t="n"/>
    </row>
    <row r="51">
      <c r="A51" s="2" t="inlineStr">
        <is>
          <t>S050</t>
        </is>
      </c>
      <c r="B51" s="2" t="inlineStr">
        <is>
          <t>In most cases, mild colds go away within a week.</t>
        </is>
      </c>
      <c r="C51" s="5" t="n"/>
      <c r="D51" s="5" t="n"/>
      <c r="E51" s="5" t="n"/>
    </row>
    <row r="52">
      <c r="A52" s="2" t="inlineStr">
        <is>
          <t>S051</t>
        </is>
      </c>
      <c r="B52" s="2" t="inlineStr">
        <is>
          <t>Each of the three bills passed the House in 2021.</t>
        </is>
      </c>
      <c r="C52" s="5" t="n"/>
      <c r="D52" s="5" t="n"/>
      <c r="E52" s="5" t="n"/>
    </row>
    <row r="53">
      <c r="A53" s="2" t="inlineStr">
        <is>
          <t>S052</t>
        </is>
      </c>
      <c r="B53" s="2" t="inlineStr">
        <is>
          <t>Self-driving cars are completely safe.</t>
        </is>
      </c>
      <c r="C53" s="5" t="n"/>
      <c r="D53" s="5" t="n"/>
      <c r="E53" s="5" t="n"/>
    </row>
    <row r="54">
      <c r="A54" s="2" t="inlineStr">
        <is>
          <t>S053</t>
        </is>
      </c>
      <c r="B54" s="2" t="inlineStr">
        <is>
          <t>Everyone in Silicon Valley is rich.</t>
        </is>
      </c>
      <c r="C54" s="5" t="n"/>
      <c r="D54" s="5" t="n"/>
      <c r="E54" s="5" t="n"/>
    </row>
    <row r="55">
      <c r="A55" s="2" t="inlineStr">
        <is>
          <t>S054</t>
        </is>
      </c>
      <c r="B55" s="2" t="inlineStr">
        <is>
          <t>All five of the company's factories closed during the 2020 lockdown.</t>
        </is>
      </c>
      <c r="C55" s="5" t="n"/>
      <c r="D55" s="5" t="n"/>
      <c r="E55" s="5" t="n"/>
    </row>
    <row r="56">
      <c r="A56" s="2" t="inlineStr">
        <is>
          <t>S055</t>
        </is>
      </c>
      <c r="B56" s="2" t="inlineStr">
        <is>
          <t>A Python tuple can never be changed after it is created.</t>
        </is>
      </c>
      <c r="C56" s="5" t="n"/>
      <c r="D56" s="5" t="n"/>
      <c r="E56" s="5" t="n"/>
    </row>
    <row r="57">
      <c r="A57" s="2" t="inlineStr">
        <is>
          <t>S056</t>
        </is>
      </c>
      <c r="B57" s="2" t="inlineStr">
        <is>
          <t>Night owls are lazy.</t>
        </is>
      </c>
      <c r="C57" s="5" t="n"/>
      <c r="D57" s="5" t="n"/>
      <c r="E57" s="5" t="n"/>
    </row>
    <row r="58">
      <c r="A58" s="2" t="inlineStr">
        <is>
          <t>S057</t>
        </is>
      </c>
      <c r="B58" s="2" t="inlineStr">
        <is>
          <t>Many, but not all, economists support a carbon tax.</t>
        </is>
      </c>
      <c r="C58" s="5" t="n"/>
      <c r="D58" s="5" t="n"/>
      <c r="E58" s="5" t="n"/>
    </row>
    <row r="59">
      <c r="A59" s="2" t="inlineStr">
        <is>
          <t>S058</t>
        </is>
      </c>
      <c r="B59" s="2" t="inlineStr">
        <is>
          <t>Drivers must always stop at a red light.</t>
        </is>
      </c>
      <c r="C59" s="5" t="n"/>
      <c r="D59" s="5" t="n"/>
      <c r="E59" s="5" t="n"/>
    </row>
    <row r="60">
      <c r="A60" s="2" t="inlineStr">
        <is>
          <t>S059</t>
        </is>
      </c>
      <c r="B60" s="2" t="inlineStr">
        <is>
          <t>Students who cheat never succeed.</t>
        </is>
      </c>
      <c r="C60" s="5" t="n"/>
      <c r="D60" s="5" t="n"/>
      <c r="E60" s="5" t="n"/>
    </row>
    <row r="61">
      <c r="A61" s="2" t="inlineStr">
        <is>
          <t>S060</t>
        </is>
      </c>
      <c r="B61" s="2" t="inlineStr">
        <is>
          <t>All living things are made of cells.</t>
        </is>
      </c>
      <c r="C61" s="5" t="n"/>
      <c r="D61" s="5" t="n"/>
      <c r="E61" s="5" t="n"/>
    </row>
    <row r="62">
      <c r="A62" s="2" t="inlineStr">
        <is>
          <t>S061</t>
        </is>
      </c>
      <c r="B62" s="2" t="inlineStr">
        <is>
          <t>Some startups use venture capital to grow faster, while others grow on their own revenue.</t>
        </is>
      </c>
      <c r="C62" s="5" t="n"/>
      <c r="D62" s="5" t="n"/>
      <c r="E62" s="5" t="n"/>
    </row>
    <row r="63">
      <c r="A63" s="2" t="inlineStr">
        <is>
          <t>S062</t>
        </is>
      </c>
      <c r="B63" s="2" t="inlineStr">
        <is>
          <t>Nobody reads the terms and conditions.</t>
        </is>
      </c>
      <c r="C63" s="5" t="n"/>
      <c r="D63" s="5" t="n"/>
      <c r="E63" s="5" t="n"/>
    </row>
    <row r="64">
      <c r="A64" s="2" t="inlineStr">
        <is>
          <t>S063</t>
        </is>
      </c>
      <c r="B64" s="2" t="inlineStr">
        <is>
          <t>Meditation may reduce anxiety symptoms for some people.</t>
        </is>
      </c>
      <c r="C64" s="5" t="n"/>
      <c r="D64" s="5" t="n"/>
      <c r="E64" s="5" t="n"/>
    </row>
    <row r="65">
      <c r="A65" s="2" t="inlineStr">
        <is>
          <t>S064</t>
        </is>
      </c>
      <c r="B65" s="2" t="inlineStr">
        <is>
          <t>Every student must complete 32 credits to graduate.</t>
        </is>
      </c>
      <c r="C65" s="5" t="n"/>
      <c r="D65" s="5" t="n"/>
      <c r="E65" s="5" t="n"/>
    </row>
    <row r="66">
      <c r="A66" s="2" t="inlineStr">
        <is>
          <t>S065</t>
        </is>
      </c>
      <c r="B66" s="2" t="inlineStr">
        <is>
          <t>Some company reports show fewer crashes per mile for self-driving cars, but independent data is limited.</t>
        </is>
      </c>
      <c r="C66" s="5" t="n"/>
      <c r="D66" s="5" t="n"/>
      <c r="E66" s="5" t="n"/>
    </row>
    <row r="67">
      <c r="A67" s="2" t="inlineStr">
        <is>
          <t>S066</t>
        </is>
      </c>
      <c r="B67" s="2" t="inlineStr">
        <is>
          <t>Learning a second language makes you smarter.</t>
        </is>
      </c>
      <c r="C67" s="5" t="n"/>
      <c r="D67" s="5" t="n"/>
      <c r="E67" s="5" t="n"/>
    </row>
    <row r="68">
      <c r="A68" s="2" t="inlineStr">
        <is>
          <t>S067</t>
        </is>
      </c>
      <c r="B68" s="2" t="inlineStr">
        <is>
          <t>The Moon always shows the same face to Earth.</t>
        </is>
      </c>
      <c r="C68" s="5" t="n"/>
      <c r="D68" s="5" t="n"/>
      <c r="E68" s="5" t="n"/>
    </row>
    <row r="69">
      <c r="A69" s="2" t="inlineStr">
        <is>
          <t>S068</t>
        </is>
      </c>
      <c r="B69" s="2" t="inlineStr">
        <is>
          <t>Every Super Bowl so far has been played in January or February.</t>
        </is>
      </c>
      <c r="C69" s="5" t="n"/>
      <c r="D69" s="5" t="n"/>
      <c r="E69" s="5" t="n"/>
    </row>
    <row r="70">
      <c r="A70" s="2" t="inlineStr">
        <is>
          <t>S069</t>
        </is>
      </c>
      <c r="B70" s="2" t="inlineStr">
        <is>
          <t>Supporters say the policy will help every family.</t>
        </is>
      </c>
      <c r="C70" s="5" t="n"/>
      <c r="D70" s="5" t="n"/>
      <c r="E70" s="5" t="n"/>
    </row>
    <row r="71">
      <c r="A71" s="2" t="inlineStr">
        <is>
          <t>S070</t>
        </is>
      </c>
      <c r="B71" s="2" t="inlineStr">
        <is>
          <t>Dogs can be good pets for families who have time for training and exercise.</t>
        </is>
      </c>
      <c r="C71" s="5" t="n"/>
      <c r="D71" s="5" t="n"/>
      <c r="E71" s="5" t="n"/>
    </row>
    <row r="72">
      <c r="A72" s="2" t="inlineStr">
        <is>
          <t>S071</t>
        </is>
      </c>
      <c r="B72" s="2" t="inlineStr">
        <is>
          <t>City life is more stressful than rural life.</t>
        </is>
      </c>
      <c r="C72" s="5" t="n"/>
      <c r="D72" s="5" t="n"/>
      <c r="E72" s="5" t="n"/>
    </row>
    <row r="73">
      <c r="A73" s="2" t="inlineStr">
        <is>
          <t>S072</t>
        </is>
      </c>
      <c r="B73" s="2" t="inlineStr">
        <is>
          <t>Reading before bed may help some people fall asleep.</t>
        </is>
      </c>
      <c r="C73" s="5" t="n"/>
      <c r="D73" s="5" t="n"/>
      <c r="E73" s="5" t="n"/>
    </row>
    <row r="74">
      <c r="A74" s="2" t="inlineStr">
        <is>
          <t>S073</t>
        </is>
      </c>
      <c r="B74" s="2" t="inlineStr">
        <is>
          <t>A large share of small businesses close within five years.</t>
        </is>
      </c>
      <c r="C74" s="5" t="n"/>
      <c r="D74" s="5" t="n"/>
      <c r="E74" s="5" t="n"/>
    </row>
    <row r="75">
      <c r="A75" s="2" t="inlineStr">
        <is>
          <t>S074</t>
        </is>
      </c>
      <c r="B75" s="2" t="inlineStr">
        <is>
          <t>No even number greater than 2 is prime.</t>
        </is>
      </c>
      <c r="C75" s="5" t="n"/>
      <c r="D75" s="5" t="n"/>
      <c r="E75" s="5" t="n"/>
    </row>
    <row r="76">
      <c r="A76" s="2" t="inlineStr">
        <is>
          <t>S075</t>
        </is>
      </c>
      <c r="B76" s="2" t="inlineStr">
        <is>
          <t>Some natural remedies can interact with medications.</t>
        </is>
      </c>
      <c r="C76" s="5" t="n"/>
      <c r="D76" s="5" t="n"/>
      <c r="E76" s="5" t="n"/>
    </row>
    <row r="77">
      <c r="A77" s="2" t="inlineStr">
        <is>
          <t>S076</t>
        </is>
      </c>
      <c r="B77" s="2" t="inlineStr">
        <is>
          <t>Every week has seven days.</t>
        </is>
      </c>
      <c r="C77" s="5" t="n"/>
      <c r="D77" s="5" t="n"/>
      <c r="E77" s="5" t="n"/>
    </row>
    <row r="78">
      <c r="A78" s="2" t="inlineStr">
        <is>
          <t>S077</t>
        </is>
      </c>
      <c r="B78" s="2" t="inlineStr">
        <is>
          <t>No player except the goalkeeper may handle the ball in soccer.</t>
        </is>
      </c>
      <c r="C78" s="5" t="n"/>
      <c r="D78" s="5" t="n"/>
      <c r="E78" s="5" t="n"/>
    </row>
    <row r="79">
      <c r="A79" s="2" t="inlineStr">
        <is>
          <t>S078</t>
        </is>
      </c>
      <c r="B79" s="2" t="inlineStr">
        <is>
          <t>Some news stories contain errors or misleading framing.</t>
        </is>
      </c>
      <c r="C79" s="5" t="n"/>
      <c r="D79" s="5" t="n"/>
      <c r="E79" s="5" t="n"/>
    </row>
    <row r="80">
      <c r="A80" s="2" t="inlineStr">
        <is>
          <t>S079</t>
        </is>
      </c>
      <c r="B80" s="2" t="inlineStr">
        <is>
          <t>Cats are independent and don't need attention.</t>
        </is>
      </c>
      <c r="C80" s="5" t="n"/>
      <c r="D80" s="5" t="n"/>
      <c r="E80" s="5" t="n"/>
    </row>
    <row r="81">
      <c r="A81" s="2" t="inlineStr">
        <is>
          <t>S080</t>
        </is>
      </c>
      <c r="B81" s="2" t="inlineStr">
        <is>
          <t>All of the study's participants were college students.</t>
        </is>
      </c>
      <c r="C81" s="5" t="n"/>
      <c r="D81" s="5" t="n"/>
      <c r="E81" s="5" t="n"/>
    </row>
    <row r="82">
      <c r="A82" s="2" t="inlineStr">
        <is>
          <t>S081</t>
        </is>
      </c>
      <c r="B82" s="2" t="inlineStr">
        <is>
          <t>Some students do worse in online classes, especially without support.</t>
        </is>
      </c>
      <c r="C82" s="5" t="n"/>
      <c r="D82" s="5" t="n"/>
      <c r="E82" s="5" t="n"/>
    </row>
    <row r="83">
      <c r="A83" s="2" t="inlineStr">
        <is>
          <t>S082</t>
        </is>
      </c>
      <c r="B83" s="2" t="inlineStr">
        <is>
          <t>Some public schools have struggled with test scores since 2020.</t>
        </is>
      </c>
      <c r="C83" s="5" t="n"/>
      <c r="D83" s="5" t="n"/>
      <c r="E83" s="5" t="n"/>
    </row>
    <row r="84">
      <c r="A84" s="2" t="inlineStr">
        <is>
          <t>S083</t>
        </is>
      </c>
      <c r="B84" s="2" t="inlineStr">
        <is>
          <t>Some people with high test scores report social difficulties, but many do not.</t>
        </is>
      </c>
      <c r="C84" s="5" t="n"/>
      <c r="D84" s="5" t="n"/>
      <c r="E84" s="5" t="n"/>
    </row>
    <row r="85">
      <c r="A85" s="2" t="inlineStr">
        <is>
          <t>S084</t>
        </is>
      </c>
      <c r="B85" s="2" t="inlineStr">
        <is>
          <t>Some studies have looked for a link between violent video games and aggression, with mixed results.</t>
        </is>
      </c>
      <c r="C85" s="5" t="n"/>
      <c r="D85" s="5" t="n"/>
      <c r="E85" s="5" t="n"/>
    </row>
    <row r="86">
      <c r="A86" s="2" t="inlineStr">
        <is>
          <t>S085</t>
        </is>
      </c>
      <c r="B86" s="2" t="inlineStr">
        <is>
          <t>In chess, a pawn can never move backward.</t>
        </is>
      </c>
      <c r="C86" s="5" t="n"/>
      <c r="D86" s="5" t="n"/>
      <c r="E86" s="5" t="n"/>
    </row>
    <row r="87">
      <c r="A87" s="2" t="inlineStr">
        <is>
          <t>S086</t>
        </is>
      </c>
      <c r="B87" s="2" t="inlineStr">
        <is>
          <t>Results varied widely between schools.</t>
        </is>
      </c>
      <c r="C87" s="5" t="n"/>
      <c r="D87" s="5" t="n"/>
      <c r="E87" s="5" t="n"/>
    </row>
    <row r="88">
      <c r="A88" s="2" t="inlineStr">
        <is>
          <t>S087</t>
        </is>
      </c>
      <c r="B88" s="2" t="inlineStr">
        <is>
          <t>The evidence on multivitamins is mixed.</t>
        </is>
      </c>
      <c r="C88" s="5" t="n"/>
      <c r="D88" s="5" t="n"/>
      <c r="E88" s="5" t="n"/>
    </row>
    <row r="89">
      <c r="A89" s="2" t="inlineStr">
        <is>
          <t>S088</t>
        </is>
      </c>
      <c r="B89" s="2" t="inlineStr">
        <is>
          <t>Water always boils at a lower temperature at high altitude.</t>
        </is>
      </c>
      <c r="C89" s="5" t="n"/>
      <c r="D89" s="5" t="n"/>
      <c r="E89" s="5" t="n"/>
    </row>
    <row r="90">
      <c r="A90" s="2" t="inlineStr">
        <is>
          <t>S089</t>
        </is>
      </c>
      <c r="B90" s="2" t="inlineStr">
        <is>
          <t>Exercise can help with weight loss, especially combined with changes in diet.</t>
        </is>
      </c>
      <c r="C90" s="5" t="n"/>
      <c r="D90" s="5" t="n"/>
      <c r="E90" s="5" t="n"/>
    </row>
    <row r="91">
      <c r="A91" s="2" t="inlineStr">
        <is>
          <t>S090</t>
        </is>
      </c>
      <c r="B91" s="2" t="inlineStr">
        <is>
          <t>All eligible voters in Australia are required by law to vote.</t>
        </is>
      </c>
      <c r="C91" s="5" t="n"/>
      <c r="D91" s="5" t="n"/>
      <c r="E91" s="5" t="n"/>
    </row>
    <row r="92">
      <c r="A92" s="2" t="inlineStr">
        <is>
          <t>S091</t>
        </is>
      </c>
      <c r="B92" s="2" t="inlineStr">
        <is>
          <t>A popular saying holds that money can't buy happiness.</t>
        </is>
      </c>
      <c r="C92" s="5" t="n"/>
      <c r="D92" s="5" t="n"/>
      <c r="E92" s="5" t="n"/>
    </row>
    <row r="93">
      <c r="A93" s="2" t="inlineStr">
        <is>
          <t>S092</t>
        </is>
      </c>
      <c r="B93" s="2" t="inlineStr">
        <is>
          <t>All passengers must go through security screening before boarding.</t>
        </is>
      </c>
      <c r="C93" s="5" t="n"/>
      <c r="D93" s="5" t="n"/>
      <c r="E93" s="5" t="n"/>
    </row>
    <row r="94">
      <c r="A94" s="2" t="inlineStr">
        <is>
          <t>S093</t>
        </is>
      </c>
      <c r="B94" s="2" t="inlineStr">
        <is>
          <t>All mammals breathe air.</t>
        </is>
      </c>
      <c r="C94" s="5" t="n"/>
      <c r="D94" s="5" t="n"/>
      <c r="E94" s="5" t="n"/>
    </row>
    <row r="95">
      <c r="A95" s="2" t="inlineStr">
        <is>
          <t>S094</t>
        </is>
      </c>
      <c r="B95" s="2" t="inlineStr">
        <is>
          <t>Every startup needs venture capital to grow.</t>
        </is>
      </c>
      <c r="C95" s="5" t="n"/>
      <c r="D95" s="5" t="n"/>
      <c r="E95" s="5" t="n"/>
    </row>
    <row r="96">
      <c r="A96" s="2" t="inlineStr">
        <is>
          <t>S095</t>
        </is>
      </c>
      <c r="B96" s="2" t="inlineStr">
        <is>
          <t>Surveys suggest that political interest among teenagers varies widely.</t>
        </is>
      </c>
      <c r="C96" s="5" t="n"/>
      <c r="D96" s="5" t="n"/>
      <c r="E96" s="5" t="n"/>
    </row>
    <row r="97">
      <c r="A97" s="2" t="inlineStr">
        <is>
          <t>S096</t>
        </is>
      </c>
      <c r="B97" s="2" t="inlineStr">
        <is>
          <t>Exercise is the only way to lose weight.</t>
        </is>
      </c>
      <c r="C97" s="5" t="n"/>
      <c r="D97" s="5" t="n"/>
      <c r="E97" s="5" t="n"/>
    </row>
    <row r="98">
      <c r="A98" s="2" t="inlineStr">
        <is>
          <t>S097</t>
        </is>
      </c>
      <c r="B98" s="2" t="inlineStr">
        <is>
          <t>Some people believe that breakfast is the most important meal of the day.</t>
        </is>
      </c>
      <c r="C98" s="5" t="n"/>
      <c r="D98" s="5" t="n"/>
      <c r="E98" s="5" t="n"/>
    </row>
    <row r="99">
      <c r="A99" s="2" t="inlineStr">
        <is>
          <t>S098</t>
        </is>
      </c>
      <c r="B99" s="2" t="inlineStr">
        <is>
          <t>Fast food is always unhealthy.</t>
        </is>
      </c>
      <c r="C99" s="5" t="n"/>
      <c r="D99" s="5" t="n"/>
      <c r="E99" s="5" t="n"/>
    </row>
    <row r="100">
      <c r="A100" s="2" t="inlineStr">
        <is>
          <t>S099</t>
        </is>
      </c>
      <c r="B100" s="2" t="inlineStr">
        <is>
          <t>Smart people are bad at social skills.</t>
        </is>
      </c>
      <c r="C100" s="5" t="n"/>
      <c r="D100" s="5" t="n"/>
      <c r="E100" s="5" t="n"/>
    </row>
    <row r="101">
      <c r="A101" s="2" t="inlineStr">
        <is>
          <t>S100</t>
        </is>
      </c>
      <c r="B101" s="2" t="inlineStr">
        <is>
          <t>All 50 US states have a governor.</t>
        </is>
      </c>
      <c r="C101" s="5" t="n"/>
      <c r="D101" s="5" t="n"/>
      <c r="E101" s="5" t="n"/>
    </row>
    <row r="102">
      <c r="A102" s="2" t="inlineStr">
        <is>
          <t>S101</t>
        </is>
      </c>
      <c r="B102" s="2" t="inlineStr">
        <is>
          <t>Antibiotics cure every infection.</t>
        </is>
      </c>
      <c r="C102" s="5" t="n"/>
      <c r="D102" s="5" t="n"/>
      <c r="E102" s="5" t="n"/>
    </row>
    <row r="103">
      <c r="A103" s="2" t="inlineStr">
        <is>
          <t>S102</t>
        </is>
      </c>
      <c r="B103" s="2" t="inlineStr">
        <is>
          <t>Diets never work in the long run.</t>
        </is>
      </c>
      <c r="C103" s="5" t="n"/>
      <c r="D103" s="5" t="n"/>
      <c r="E103" s="5" t="n"/>
    </row>
    <row r="104">
      <c r="A104" s="2" t="inlineStr">
        <is>
          <t>S103</t>
        </is>
      </c>
      <c r="B104" s="2" t="inlineStr">
        <is>
          <t>Richer countries tend to report higher life satisfaction on average.</t>
        </is>
      </c>
      <c r="C104" s="5" t="n"/>
      <c r="D104" s="5" t="n"/>
      <c r="E104" s="5" t="n"/>
    </row>
    <row r="105">
      <c r="A105" s="2" t="inlineStr">
        <is>
          <t>S104</t>
        </is>
      </c>
      <c r="B105" s="2" t="inlineStr">
        <is>
          <t>Many fast food meals are high in calories, salt, and fat.</t>
        </is>
      </c>
      <c r="C105" s="5" t="n"/>
      <c r="D105" s="5" t="n"/>
      <c r="E105" s="5" t="n"/>
    </row>
    <row r="106">
      <c r="A106" s="2" t="inlineStr">
        <is>
          <t>S105</t>
        </is>
      </c>
      <c r="B106" s="2" t="inlineStr">
        <is>
          <t>Several politicians have been convicted of corruption in recent years.</t>
        </is>
      </c>
      <c r="C106" s="5" t="n"/>
      <c r="D106" s="5" t="n"/>
      <c r="E106" s="5" t="n"/>
    </row>
    <row r="107">
      <c r="A107" s="2" t="inlineStr">
        <is>
          <t>S106</t>
        </is>
      </c>
      <c r="B107" s="2" t="inlineStr">
        <is>
          <t>Video games make children violent.</t>
        </is>
      </c>
      <c r="C107" s="5" t="n"/>
      <c r="D107" s="5" t="n"/>
      <c r="E107" s="5" t="n"/>
    </row>
    <row r="108">
      <c r="A108" s="2" t="inlineStr">
        <is>
          <t>S107</t>
        </is>
      </c>
      <c r="B108" s="2" t="inlineStr">
        <is>
          <t>Learning a second language may improve some thinking skills, though the evidence is debated.</t>
        </is>
      </c>
      <c r="C108" s="5" t="n"/>
      <c r="D108" s="5" t="n"/>
      <c r="E108" s="5" t="n"/>
    </row>
    <row r="109">
      <c r="A109" s="2" t="inlineStr">
        <is>
          <t>S108</t>
        </is>
      </c>
      <c r="B109" s="2" t="inlineStr">
        <is>
          <t>Vegetarians are healthier than meat eaters.</t>
        </is>
      </c>
      <c r="C109" s="5" t="n"/>
      <c r="D109" s="5" t="n"/>
      <c r="E109" s="5" t="n"/>
    </row>
    <row r="110">
      <c r="A110" s="2" t="inlineStr">
        <is>
          <t>S109</t>
        </is>
      </c>
      <c r="B110" s="2" t="inlineStr">
        <is>
          <t>Some remote workers report being more productive than they were in the office.</t>
        </is>
      </c>
      <c r="C110" s="5" t="n"/>
      <c r="D110" s="5" t="n"/>
      <c r="E110" s="5" t="n"/>
    </row>
    <row r="111">
      <c r="A111" s="2" t="inlineStr">
        <is>
          <t>S110</t>
        </is>
      </c>
      <c r="B111" s="2" t="inlineStr">
        <is>
          <t>Every child should learn to code.</t>
        </is>
      </c>
      <c r="C111" s="5" t="n"/>
      <c r="D111" s="5" t="n"/>
      <c r="E111" s="5" t="n"/>
    </row>
    <row r="112">
      <c r="A112" s="2" t="inlineStr">
        <is>
          <t>S111</t>
        </is>
      </c>
      <c r="B112" s="2" t="inlineStr">
        <is>
          <t>Dogs are the best pets for families.</t>
        </is>
      </c>
      <c r="C112" s="5" t="n"/>
      <c r="D112" s="5" t="n"/>
      <c r="E112" s="5" t="n"/>
    </row>
    <row r="113">
      <c r="A113" s="2" t="inlineStr">
        <is>
          <t>S112</t>
        </is>
      </c>
      <c r="B113" s="2" t="inlineStr">
        <is>
          <t>Reading before bed guarantees better sleep.</t>
        </is>
      </c>
      <c r="C113" s="5" t="n"/>
      <c r="D113" s="5" t="n"/>
      <c r="E113" s="5" t="n"/>
    </row>
    <row r="114">
      <c r="A114" s="2" t="inlineStr">
        <is>
          <t>S113</t>
        </is>
      </c>
      <c r="B114" s="2" t="inlineStr">
        <is>
          <t>All news is fake.</t>
        </is>
      </c>
      <c r="C114" s="5" t="n"/>
      <c r="D114" s="5" t="n"/>
      <c r="E114" s="5" t="n"/>
    </row>
    <row r="115">
      <c r="A115" s="2" t="inlineStr">
        <is>
          <t>S114</t>
        </is>
      </c>
      <c r="B115" s="2" t="inlineStr">
        <is>
          <t>Everyone in the experiment received the same instructions.</t>
        </is>
      </c>
      <c r="C115" s="5" t="n"/>
      <c r="D115" s="5" t="n"/>
      <c r="E115" s="5" t="n"/>
    </row>
    <row r="116">
      <c r="A116" s="2" t="inlineStr">
        <is>
          <t>S115</t>
        </is>
      </c>
      <c r="B116" s="2" t="inlineStr">
        <is>
          <t>Many people regain weight after a diet, though some keep it off.</t>
        </is>
      </c>
      <c r="C116" s="5" t="n"/>
      <c r="D116" s="5" t="n"/>
      <c r="E116" s="5" t="n"/>
    </row>
    <row r="117">
      <c r="A117" s="2" t="inlineStr">
        <is>
          <t>S116</t>
        </is>
      </c>
      <c r="B117" s="2" t="inlineStr">
        <is>
          <t>Remote workers are more productive than office workers.</t>
        </is>
      </c>
      <c r="C117" s="5" t="n"/>
      <c r="D117" s="5" t="n"/>
      <c r="E117" s="5" t="n"/>
    </row>
    <row r="118">
      <c r="A118" s="2" t="inlineStr">
        <is>
          <t>S117</t>
        </is>
      </c>
      <c r="B118" s="2" t="inlineStr">
        <is>
          <t>Light always travels at the same speed in a vacuum.</t>
        </is>
      </c>
      <c r="C118" s="5" t="n"/>
      <c r="D118" s="5" t="n"/>
      <c r="E118" s="5" t="n"/>
    </row>
    <row r="119">
      <c r="A119" s="2" t="inlineStr">
        <is>
          <t>S118</t>
        </is>
      </c>
      <c r="B119" s="2" t="inlineStr">
        <is>
          <t>Gen Z doesn't want to work.</t>
        </is>
      </c>
      <c r="C119" s="5" t="n"/>
      <c r="D119" s="5" t="n"/>
      <c r="E119" s="5" t="n"/>
    </row>
    <row r="120">
      <c r="A120" s="2" t="inlineStr">
        <is>
          <t>S119</t>
        </is>
      </c>
      <c r="B120" s="2" t="inlineStr">
        <is>
          <t>Many cats are more independent than dogs, but they still need care and attention.</t>
        </is>
      </c>
      <c r="C120" s="5" t="n"/>
      <c r="D120" s="5" t="n"/>
      <c r="E120" s="5" t="n"/>
    </row>
    <row r="121">
      <c r="A121" s="2" t="inlineStr">
        <is>
          <t>S120</t>
        </is>
      </c>
      <c r="B121" s="2" t="inlineStr">
        <is>
          <t>Differences in average math test scores between boys and girls are small and vary by country.</t>
        </is>
      </c>
      <c r="C121" s="5" t="n"/>
      <c r="D121" s="5" t="n"/>
      <c r="E121" s="5" t="n"/>
    </row>
  </sheetData>
  <dataValidations count="1">
    <dataValidation sqref="C2:D121" showDropDown="0" showInputMessage="0" showErrorMessage="0" allowBlank="1" type="list">
      <formula1>"met,not_met,unsure"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12" customWidth="1" min="4" max="4"/>
    <col width="8" customWidth="1" min="5" max="5"/>
    <col width="60" customWidth="1" min="6" max="6"/>
  </cols>
  <sheetData>
    <row r="1">
      <c r="A1" s="4" t="inlineStr">
        <is>
          <t>Row ID</t>
        </is>
      </c>
      <c r="B1" s="4" t="inlineStr">
        <is>
          <t>Set</t>
        </is>
      </c>
      <c r="C1" s="4" t="inlineStr">
        <is>
          <t>Category</t>
        </is>
      </c>
      <c r="D1" s="4" t="inlineStr">
        <is>
          <t>Intended C4</t>
        </is>
      </c>
      <c r="E1" s="4" t="inlineStr">
        <is>
          <t>Pair ID</t>
        </is>
      </c>
      <c r="F1" s="4" t="inlineStr">
        <is>
          <t>Why</t>
        </is>
      </c>
    </row>
    <row r="2">
      <c r="A2" s="6" t="inlineStr">
        <is>
          <t>A01-01</t>
        </is>
      </c>
      <c r="B2" s="6" t="inlineStr">
        <is>
          <t>answer</t>
        </is>
      </c>
      <c r="C2" s="6" t="inlineStr">
        <is>
          <t>REPORTED</t>
        </is>
      </c>
      <c r="D2" s="6" t="inlineStr">
        <is>
          <t>not_met</t>
        </is>
      </c>
      <c r="E2" s="6" t="inlineStr"/>
      <c r="F2" s="6" t="inlineStr">
        <is>
          <t>reports a saying, not asserted</t>
        </is>
      </c>
    </row>
    <row r="3">
      <c r="A3" s="6" t="inlineStr">
        <is>
          <t>A01-02</t>
        </is>
      </c>
      <c r="B3" s="6" t="inlineStr">
        <is>
          <t>answer</t>
        </is>
      </c>
      <c r="C3" s="6" t="inlineStr">
        <is>
          <t>NEUTRAL</t>
        </is>
      </c>
      <c r="D3" s="6" t="inlineStr">
        <is>
          <t>not_met</t>
        </is>
      </c>
      <c r="E3" s="6" t="inlineStr"/>
      <c r="F3" s="6" t="inlineStr"/>
    </row>
    <row r="4">
      <c r="A4" s="6" t="inlineStr">
        <is>
          <t>A01-03</t>
        </is>
      </c>
      <c r="B4" s="6" t="inlineStr">
        <is>
          <t>answer</t>
        </is>
      </c>
      <c r="C4" s="6" t="inlineStr">
        <is>
          <t>SWEEP-ABS</t>
        </is>
      </c>
      <c r="D4" s="6" t="inlineStr">
        <is>
          <t>met</t>
        </is>
      </c>
      <c r="E4" s="6" t="inlineStr"/>
      <c r="F4" s="6" t="inlineStr">
        <is>
          <t>'Everyone' turns a possible tendency into a rule</t>
        </is>
      </c>
    </row>
    <row r="5">
      <c r="A5" s="6" t="inlineStr">
        <is>
          <t>A01-04</t>
        </is>
      </c>
      <c r="B5" s="6" t="inlineStr">
        <is>
          <t>answer</t>
        </is>
      </c>
      <c r="C5" s="6" t="inlineStr">
        <is>
          <t>SWEEP-ABS</t>
        </is>
      </c>
      <c r="D5" s="6" t="inlineStr">
        <is>
          <t>met</t>
        </is>
      </c>
      <c r="E5" s="6" t="inlineStr"/>
      <c r="F5" s="6" t="inlineStr">
        <is>
          <t>'always' overstates a weak, mixed finding</t>
        </is>
      </c>
    </row>
    <row r="6">
      <c r="A6" s="6" t="inlineStr">
        <is>
          <t>A01-05</t>
        </is>
      </c>
      <c r="B6" s="6" t="inlineStr">
        <is>
          <t>answer</t>
        </is>
      </c>
      <c r="C6" s="6" t="inlineStr">
        <is>
          <t>HEDGED</t>
        </is>
      </c>
      <c r="D6" s="6" t="inlineStr">
        <is>
          <t>not_met</t>
        </is>
      </c>
      <c r="E6" s="6" t="inlineStr"/>
      <c r="F6" s="6" t="inlineStr">
        <is>
          <t>'Some studies', 'little effect'</t>
        </is>
      </c>
    </row>
    <row r="7">
      <c r="A7" s="6" t="inlineStr">
        <is>
          <t>A01-06</t>
        </is>
      </c>
      <c r="B7" s="6" t="inlineStr">
        <is>
          <t>answer</t>
        </is>
      </c>
      <c r="C7" s="6" t="inlineStr">
        <is>
          <t>HEDGED</t>
        </is>
      </c>
      <c r="D7" s="6" t="inlineStr">
        <is>
          <t>not_met</t>
        </is>
      </c>
      <c r="E7" s="6" t="inlineStr"/>
      <c r="F7" s="6" t="inlineStr">
        <is>
          <t>states a limit of the evidence</t>
        </is>
      </c>
    </row>
    <row r="8">
      <c r="A8" s="6" t="inlineStr">
        <is>
          <t>A01-07</t>
        </is>
      </c>
      <c r="B8" s="6" t="inlineStr">
        <is>
          <t>answer</t>
        </is>
      </c>
      <c r="C8" s="6" t="inlineStr">
        <is>
          <t>SWEEP-SUPERLATIVE</t>
        </is>
      </c>
      <c r="D8" s="6" t="inlineStr">
        <is>
          <t>met</t>
        </is>
      </c>
      <c r="E8" s="6" t="inlineStr"/>
      <c r="F8" s="6" t="inlineStr">
        <is>
          <t>'the key' claims a sole cause</t>
        </is>
      </c>
    </row>
    <row r="9">
      <c r="A9" s="6" t="inlineStr">
        <is>
          <t>A01-08</t>
        </is>
      </c>
      <c r="B9" s="6" t="inlineStr">
        <is>
          <t>answer</t>
        </is>
      </c>
      <c r="C9" s="6" t="inlineStr">
        <is>
          <t>HEDGED</t>
        </is>
      </c>
      <c r="D9" s="6" t="inlineStr">
        <is>
          <t>not_met</t>
        </is>
      </c>
      <c r="E9" s="6" t="inlineStr"/>
      <c r="F9" s="6" t="inlineStr">
        <is>
          <t>'unlikely', 'most'</t>
        </is>
      </c>
    </row>
    <row r="10">
      <c r="A10" s="6" t="inlineStr">
        <is>
          <t>A02-01</t>
        </is>
      </c>
      <c r="B10" s="6" t="inlineStr">
        <is>
          <t>answer</t>
        </is>
      </c>
      <c r="C10" s="6" t="inlineStr">
        <is>
          <t>NEUTRAL</t>
        </is>
      </c>
      <c r="D10" s="6" t="inlineStr">
        <is>
          <t>not_met</t>
        </is>
      </c>
      <c r="E10" s="6" t="inlineStr"/>
      <c r="F10" s="6" t="inlineStr"/>
    </row>
    <row r="11">
      <c r="A11" s="6" t="inlineStr">
        <is>
          <t>A02-02</t>
        </is>
      </c>
      <c r="B11" s="6" t="inlineStr">
        <is>
          <t>answer</t>
        </is>
      </c>
      <c r="C11" s="6" t="inlineStr">
        <is>
          <t>REPORTED</t>
        </is>
      </c>
      <c r="D11" s="6" t="inlineStr">
        <is>
          <t>not_met</t>
        </is>
      </c>
      <c r="E11" s="6" t="inlineStr"/>
      <c r="F11" s="6" t="inlineStr">
        <is>
          <t>reports the stereotype, does not assert it</t>
        </is>
      </c>
    </row>
    <row r="12">
      <c r="A12" s="6" t="inlineStr">
        <is>
          <t>A02-03</t>
        </is>
      </c>
      <c r="B12" s="6" t="inlineStr">
        <is>
          <t>answer</t>
        </is>
      </c>
      <c r="C12" s="6" t="inlineStr">
        <is>
          <t>SWEEP-GENERIC</t>
        </is>
      </c>
      <c r="D12" s="6" t="inlineStr">
        <is>
          <t>met</t>
        </is>
      </c>
      <c r="E12" s="6" t="inlineStr"/>
      <c r="F12" s="6" t="inlineStr">
        <is>
          <t>generic claim about a whole generation, no absolute word</t>
        </is>
      </c>
    </row>
    <row r="13">
      <c r="A13" s="6" t="inlineStr">
        <is>
          <t>A02-04</t>
        </is>
      </c>
      <c r="B13" s="6" t="inlineStr">
        <is>
          <t>answer</t>
        </is>
      </c>
      <c r="C13" s="6" t="inlineStr">
        <is>
          <t>HEDGED</t>
        </is>
      </c>
      <c r="D13" s="6" t="inlineStr">
        <is>
          <t>not_met</t>
        </is>
      </c>
      <c r="E13" s="6" t="inlineStr"/>
      <c r="F13" s="6" t="inlineStr">
        <is>
          <t>'for many'</t>
        </is>
      </c>
    </row>
    <row r="14">
      <c r="A14" s="6" t="inlineStr">
        <is>
          <t>A02-05</t>
        </is>
      </c>
      <c r="B14" s="6" t="inlineStr">
        <is>
          <t>answer</t>
        </is>
      </c>
      <c r="C14" s="6" t="inlineStr">
        <is>
          <t>NEUTRAL</t>
        </is>
      </c>
      <c r="D14" s="6" t="inlineStr">
        <is>
          <t>not_met</t>
        </is>
      </c>
      <c r="E14" s="6" t="inlineStr"/>
      <c r="F14" s="6" t="inlineStr"/>
    </row>
    <row r="15">
      <c r="A15" s="6" t="inlineStr">
        <is>
          <t>A02-06</t>
        </is>
      </c>
      <c r="B15" s="6" t="inlineStr">
        <is>
          <t>answer</t>
        </is>
      </c>
      <c r="C15" s="6" t="inlineStr">
        <is>
          <t>HEDGED</t>
        </is>
      </c>
      <c r="D15" s="6" t="inlineStr">
        <is>
          <t>not_met</t>
        </is>
      </c>
      <c r="E15" s="6" t="inlineStr"/>
      <c r="F15" s="6" t="inlineStr">
        <is>
          <t>'suggest', 'many'</t>
        </is>
      </c>
    </row>
    <row r="16">
      <c r="A16" s="6" t="inlineStr">
        <is>
          <t>A02-07</t>
        </is>
      </c>
      <c r="B16" s="6" t="inlineStr">
        <is>
          <t>answer</t>
        </is>
      </c>
      <c r="C16" s="6" t="inlineStr">
        <is>
          <t>SWEEP-ABS</t>
        </is>
      </c>
      <c r="D16" s="6" t="inlineStr">
        <is>
          <t>met</t>
        </is>
      </c>
      <c r="E16" s="6" t="inlineStr"/>
      <c r="F16" s="6" t="inlineStr">
        <is>
          <t>'never' about all young people</t>
        </is>
      </c>
    </row>
    <row r="17">
      <c r="A17" s="6" t="inlineStr">
        <is>
          <t>A02-08</t>
        </is>
      </c>
      <c r="B17" s="6" t="inlineStr">
        <is>
          <t>answer</t>
        </is>
      </c>
      <c r="C17" s="6" t="inlineStr">
        <is>
          <t>NEUTRAL</t>
        </is>
      </c>
      <c r="D17" s="6" t="inlineStr">
        <is>
          <t>not_met</t>
        </is>
      </c>
      <c r="E17" s="6" t="inlineStr"/>
      <c r="F17" s="6" t="inlineStr"/>
    </row>
    <row r="18">
      <c r="A18" s="6" t="inlineStr">
        <is>
          <t>A03-01</t>
        </is>
      </c>
      <c r="B18" s="6" t="inlineStr">
        <is>
          <t>answer</t>
        </is>
      </c>
      <c r="C18" s="6" t="inlineStr">
        <is>
          <t>NEUTRAL</t>
        </is>
      </c>
      <c r="D18" s="6" t="inlineStr">
        <is>
          <t>not_met</t>
        </is>
      </c>
      <c r="E18" s="6" t="inlineStr"/>
      <c r="F18" s="6" t="inlineStr"/>
    </row>
    <row r="19">
      <c r="A19" s="6" t="inlineStr">
        <is>
          <t>A03-02</t>
        </is>
      </c>
      <c r="B19" s="6" t="inlineStr">
        <is>
          <t>answer</t>
        </is>
      </c>
      <c r="C19" s="6" t="inlineStr">
        <is>
          <t>HEDGED</t>
        </is>
      </c>
      <c r="D19" s="6" t="inlineStr">
        <is>
          <t>not_met</t>
        </is>
      </c>
      <c r="E19" s="6" t="inlineStr"/>
      <c r="F19" s="6" t="inlineStr">
        <is>
          <t>'is linked', scoped to people who struggle</t>
        </is>
      </c>
    </row>
    <row r="20">
      <c r="A20" s="6" t="inlineStr">
        <is>
          <t>A03-03</t>
        </is>
      </c>
      <c r="B20" s="6" t="inlineStr">
        <is>
          <t>answer</t>
        </is>
      </c>
      <c r="C20" s="6" t="inlineStr">
        <is>
          <t>NEUTRAL</t>
        </is>
      </c>
      <c r="D20" s="6" t="inlineStr">
        <is>
          <t>not_met</t>
        </is>
      </c>
      <c r="E20" s="6" t="inlineStr"/>
      <c r="F20" s="6" t="inlineStr">
        <is>
          <t>named source, hedged</t>
        </is>
      </c>
    </row>
    <row r="21">
      <c r="A21" s="6" t="inlineStr">
        <is>
          <t>A03-04</t>
        </is>
      </c>
      <c r="B21" s="6" t="inlineStr">
        <is>
          <t>answer</t>
        </is>
      </c>
      <c r="C21" s="6" t="inlineStr">
        <is>
          <t>SWEEP-ABS</t>
        </is>
      </c>
      <c r="D21" s="6" t="inlineStr">
        <is>
          <t>met</t>
        </is>
      </c>
      <c r="E21" s="6" t="inlineStr"/>
      <c r="F21" s="6" t="inlineStr">
        <is>
          <t>'always' overstates a tendency</t>
        </is>
      </c>
    </row>
    <row r="22">
      <c r="A22" s="6" t="inlineStr">
        <is>
          <t>A03-05</t>
        </is>
      </c>
      <c r="B22" s="6" t="inlineStr">
        <is>
          <t>answer</t>
        </is>
      </c>
      <c r="C22" s="6" t="inlineStr">
        <is>
          <t>SWEEP-ABS</t>
        </is>
      </c>
      <c r="D22" s="6" t="inlineStr">
        <is>
          <t>met</t>
        </is>
      </c>
      <c r="E22" s="6" t="inlineStr"/>
      <c r="F22" s="6" t="inlineStr">
        <is>
          <t>'everyone else', no support</t>
        </is>
      </c>
    </row>
    <row r="23">
      <c r="A23" s="6" t="inlineStr">
        <is>
          <t>A03-06</t>
        </is>
      </c>
      <c r="B23" s="6" t="inlineStr">
        <is>
          <t>answer</t>
        </is>
      </c>
      <c r="C23" s="6" t="inlineStr">
        <is>
          <t>HEDGED</t>
        </is>
      </c>
      <c r="D23" s="6" t="inlineStr">
        <is>
          <t>not_met</t>
        </is>
      </c>
      <c r="E23" s="6" t="inlineStr"/>
      <c r="F23" s="6" t="inlineStr">
        <is>
          <t>'can'</t>
        </is>
      </c>
    </row>
    <row r="24">
      <c r="A24" s="6" t="inlineStr">
        <is>
          <t>A03-07</t>
        </is>
      </c>
      <c r="B24" s="6" t="inlineStr">
        <is>
          <t>answer</t>
        </is>
      </c>
      <c r="C24" s="6" t="inlineStr">
        <is>
          <t>SWEEP-ABS</t>
        </is>
      </c>
      <c r="D24" s="6" t="inlineStr">
        <is>
          <t>met</t>
        </is>
      </c>
      <c r="E24" s="6" t="inlineStr"/>
      <c r="F24" s="6" t="inlineStr">
        <is>
          <t>absolute maxim that contradicts the answer's own evidence</t>
        </is>
      </c>
    </row>
    <row r="25">
      <c r="A25" s="6" t="inlineStr">
        <is>
          <t>A04-01</t>
        </is>
      </c>
      <c r="B25" s="6" t="inlineStr">
        <is>
          <t>answer</t>
        </is>
      </c>
      <c r="C25" s="6" t="inlineStr">
        <is>
          <t>NEUTRAL</t>
        </is>
      </c>
      <c r="D25" s="6" t="inlineStr">
        <is>
          <t>not_met</t>
        </is>
      </c>
      <c r="E25" s="6" t="inlineStr"/>
      <c r="F25" s="6" t="inlineStr"/>
    </row>
    <row r="26">
      <c r="A26" s="6" t="inlineStr">
        <is>
          <t>A04-02</t>
        </is>
      </c>
      <c r="B26" s="6" t="inlineStr">
        <is>
          <t>answer</t>
        </is>
      </c>
      <c r="C26" s="6" t="inlineStr">
        <is>
          <t>RULE</t>
        </is>
      </c>
      <c r="D26" s="6" t="inlineStr">
        <is>
          <t>not_met</t>
        </is>
      </c>
      <c r="E26" s="6" t="inlineStr"/>
      <c r="F26" s="6" t="inlineStr">
        <is>
          <t>describes a legal labeling rule</t>
        </is>
      </c>
    </row>
    <row r="27">
      <c r="A27" s="6" t="inlineStr">
        <is>
          <t>A04-03</t>
        </is>
      </c>
      <c r="B27" s="6" t="inlineStr">
        <is>
          <t>answer</t>
        </is>
      </c>
      <c r="C27" s="6" t="inlineStr">
        <is>
          <t>HEDGED</t>
        </is>
      </c>
      <c r="D27" s="6" t="inlineStr">
        <is>
          <t>not_met</t>
        </is>
      </c>
      <c r="E27" s="6" t="inlineStr"/>
      <c r="F27" s="6" t="inlineStr">
        <is>
          <t>'tends to'</t>
        </is>
      </c>
    </row>
    <row r="28">
      <c r="A28" s="6" t="inlineStr">
        <is>
          <t>A04-04</t>
        </is>
      </c>
      <c r="B28" s="6" t="inlineStr">
        <is>
          <t>answer</t>
        </is>
      </c>
      <c r="C28" s="6" t="inlineStr">
        <is>
          <t>SWEEP-ABS</t>
        </is>
      </c>
      <c r="D28" s="6" t="inlineStr">
        <is>
          <t>met</t>
        </is>
      </c>
      <c r="E28" s="6" t="inlineStr"/>
      <c r="F28" s="6" t="inlineStr">
        <is>
          <t>'always', contradicted by the next section</t>
        </is>
      </c>
    </row>
    <row r="29">
      <c r="A29" s="6" t="inlineStr">
        <is>
          <t>A04-05</t>
        </is>
      </c>
      <c r="B29" s="6" t="inlineStr">
        <is>
          <t>answer</t>
        </is>
      </c>
      <c r="C29" s="6" t="inlineStr">
        <is>
          <t>NEUTRAL</t>
        </is>
      </c>
      <c r="D29" s="6" t="inlineStr">
        <is>
          <t>not_met</t>
        </is>
      </c>
      <c r="E29" s="6" t="inlineStr"/>
      <c r="F29" s="6" t="inlineStr">
        <is>
          <t>named source</t>
        </is>
      </c>
    </row>
    <row r="30">
      <c r="A30" s="6" t="inlineStr">
        <is>
          <t>A04-06</t>
        </is>
      </c>
      <c r="B30" s="6" t="inlineStr">
        <is>
          <t>answer</t>
        </is>
      </c>
      <c r="C30" s="6" t="inlineStr">
        <is>
          <t>HEDGED</t>
        </is>
      </c>
      <c r="D30" s="6" t="inlineStr">
        <is>
          <t>not_met</t>
        </is>
      </c>
      <c r="E30" s="6" t="inlineStr"/>
      <c r="F30" s="6" t="inlineStr">
        <is>
          <t>'generally'</t>
        </is>
      </c>
    </row>
    <row r="31">
      <c r="A31" s="6" t="inlineStr">
        <is>
          <t>A04-07</t>
        </is>
      </c>
      <c r="B31" s="6" t="inlineStr">
        <is>
          <t>answer</t>
        </is>
      </c>
      <c r="C31" s="6" t="inlineStr">
        <is>
          <t>SWEEP-SUPERLATIVE</t>
        </is>
      </c>
      <c r="D31" s="6" t="inlineStr">
        <is>
          <t>met</t>
        </is>
      </c>
      <c r="E31" s="6" t="inlineStr"/>
      <c r="F31" s="6" t="inlineStr">
        <is>
          <t>'the only way'</t>
        </is>
      </c>
    </row>
    <row r="32">
      <c r="A32" s="6" t="inlineStr">
        <is>
          <t>A04-08</t>
        </is>
      </c>
      <c r="B32" s="6" t="inlineStr">
        <is>
          <t>answer</t>
        </is>
      </c>
      <c r="C32" s="6" t="inlineStr">
        <is>
          <t>NEUTRAL</t>
        </is>
      </c>
      <c r="D32" s="6" t="inlineStr">
        <is>
          <t>not_met</t>
        </is>
      </c>
      <c r="E32" s="6" t="inlineStr"/>
      <c r="F32" s="6" t="inlineStr"/>
    </row>
    <row r="33">
      <c r="A33" s="6" t="inlineStr">
        <is>
          <t>A05-01</t>
        </is>
      </c>
      <c r="B33" s="6" t="inlineStr">
        <is>
          <t>answer</t>
        </is>
      </c>
      <c r="C33" s="6" t="inlineStr">
        <is>
          <t>NEUTRAL</t>
        </is>
      </c>
      <c r="D33" s="6" t="inlineStr">
        <is>
          <t>not_met</t>
        </is>
      </c>
      <c r="E33" s="6" t="inlineStr"/>
      <c r="F33" s="6" t="inlineStr"/>
    </row>
    <row r="34">
      <c r="A34" s="6" t="inlineStr">
        <is>
          <t>A05-02</t>
        </is>
      </c>
      <c r="B34" s="6" t="inlineStr">
        <is>
          <t>answer</t>
        </is>
      </c>
      <c r="C34" s="6" t="inlineStr">
        <is>
          <t>NEUTRAL</t>
        </is>
      </c>
      <c r="D34" s="6" t="inlineStr">
        <is>
          <t>not_met</t>
        </is>
      </c>
      <c r="E34" s="6" t="inlineStr"/>
      <c r="F34" s="6" t="inlineStr">
        <is>
          <t>named source, scoped to older students</t>
        </is>
      </c>
    </row>
    <row r="35">
      <c r="A35" s="6" t="inlineStr">
        <is>
          <t>A05-03</t>
        </is>
      </c>
      <c r="B35" s="6" t="inlineStr">
        <is>
          <t>answer</t>
        </is>
      </c>
      <c r="C35" s="6" t="inlineStr">
        <is>
          <t>HEDGED</t>
        </is>
      </c>
      <c r="D35" s="6" t="inlineStr">
        <is>
          <t>not_met</t>
        </is>
      </c>
      <c r="E35" s="6" t="inlineStr"/>
      <c r="F35" s="6" t="inlineStr">
        <is>
          <t>scoped comparison</t>
        </is>
      </c>
    </row>
    <row r="36">
      <c r="A36" s="6" t="inlineStr">
        <is>
          <t>A05-04</t>
        </is>
      </c>
      <c r="B36" s="6" t="inlineStr">
        <is>
          <t>answer</t>
        </is>
      </c>
      <c r="C36" s="6" t="inlineStr">
        <is>
          <t>SWEEP-ABS</t>
        </is>
      </c>
      <c r="D36" s="6" t="inlineStr">
        <is>
          <t>met</t>
        </is>
      </c>
      <c r="E36" s="6" t="inlineStr"/>
      <c r="F36" s="6" t="inlineStr">
        <is>
          <t>'every child'</t>
        </is>
      </c>
    </row>
    <row r="37">
      <c r="A37" s="6" t="inlineStr">
        <is>
          <t>A05-05</t>
        </is>
      </c>
      <c r="B37" s="6" t="inlineStr">
        <is>
          <t>answer</t>
        </is>
      </c>
      <c r="C37" s="6" t="inlineStr">
        <is>
          <t>HEDGED</t>
        </is>
      </c>
      <c r="D37" s="6" t="inlineStr">
        <is>
          <t>not_met</t>
        </is>
      </c>
      <c r="E37" s="6" t="inlineStr"/>
      <c r="F37" s="6" t="inlineStr">
        <is>
          <t>'often'</t>
        </is>
      </c>
    </row>
    <row r="38">
      <c r="A38" s="6" t="inlineStr">
        <is>
          <t>A05-06</t>
        </is>
      </c>
      <c r="B38" s="6" t="inlineStr">
        <is>
          <t>answer</t>
        </is>
      </c>
      <c r="C38" s="6" t="inlineStr">
        <is>
          <t>SWEEP-GENERIC</t>
        </is>
      </c>
      <c r="D38" s="6" t="inlineStr">
        <is>
          <t>met</t>
        </is>
      </c>
      <c r="E38" s="6" t="inlineStr"/>
      <c r="F38" s="6" t="inlineStr">
        <is>
          <t>generic claim about all kids who skip homework</t>
        </is>
      </c>
    </row>
    <row r="39">
      <c r="A39" s="6" t="inlineStr">
        <is>
          <t>A05-07</t>
        </is>
      </c>
      <c r="B39" s="6" t="inlineStr">
        <is>
          <t>answer</t>
        </is>
      </c>
      <c r="C39" s="6" t="inlineStr">
        <is>
          <t>NEUTRAL</t>
        </is>
      </c>
      <c r="D39" s="6" t="inlineStr">
        <is>
          <t>not_met</t>
        </is>
      </c>
      <c r="E39" s="6" t="inlineStr"/>
      <c r="F39" s="6" t="inlineStr"/>
    </row>
    <row r="40">
      <c r="A40" s="6" t="inlineStr">
        <is>
          <t>A06-01</t>
        </is>
      </c>
      <c r="B40" s="6" t="inlineStr">
        <is>
          <t>answer</t>
        </is>
      </c>
      <c r="C40" s="6" t="inlineStr">
        <is>
          <t>NEUTRAL</t>
        </is>
      </c>
      <c r="D40" s="6" t="inlineStr">
        <is>
          <t>not_met</t>
        </is>
      </c>
      <c r="E40" s="6" t="inlineStr"/>
      <c r="F40" s="6" t="inlineStr"/>
    </row>
    <row r="41">
      <c r="A41" s="6" t="inlineStr">
        <is>
          <t>A06-02</t>
        </is>
      </c>
      <c r="B41" s="6" t="inlineStr">
        <is>
          <t>answer</t>
        </is>
      </c>
      <c r="C41" s="6" t="inlineStr">
        <is>
          <t>SWEEP-GENERIC</t>
        </is>
      </c>
      <c r="D41" s="6" t="inlineStr">
        <is>
          <t>met</t>
        </is>
      </c>
      <c r="E41" s="6" t="inlineStr"/>
      <c r="F41" s="6" t="inlineStr">
        <is>
          <t>generic claim about a whole group</t>
        </is>
      </c>
    </row>
    <row r="42">
      <c r="A42" s="6" t="inlineStr">
        <is>
          <t>A06-03</t>
        </is>
      </c>
      <c r="B42" s="6" t="inlineStr">
        <is>
          <t>answer</t>
        </is>
      </c>
      <c r="C42" s="6" t="inlineStr">
        <is>
          <t>SWEEP-ABS</t>
        </is>
      </c>
      <c r="D42" s="6" t="inlineStr">
        <is>
          <t>met</t>
        </is>
      </c>
      <c r="E42" s="6" t="inlineStr"/>
      <c r="F42" s="6" t="inlineStr">
        <is>
          <t>'never'</t>
        </is>
      </c>
    </row>
    <row r="43">
      <c r="A43" s="6" t="inlineStr">
        <is>
          <t>A06-04</t>
        </is>
      </c>
      <c r="B43" s="6" t="inlineStr">
        <is>
          <t>answer</t>
        </is>
      </c>
      <c r="C43" s="6" t="inlineStr">
        <is>
          <t>NEUTRAL</t>
        </is>
      </c>
      <c r="D43" s="6" t="inlineStr">
        <is>
          <t>not_met</t>
        </is>
      </c>
      <c r="E43" s="6" t="inlineStr"/>
      <c r="F43" s="6" t="inlineStr">
        <is>
          <t>named source, 'can be'</t>
        </is>
      </c>
    </row>
    <row r="44">
      <c r="A44" s="6" t="inlineStr">
        <is>
          <t>A06-05</t>
        </is>
      </c>
      <c r="B44" s="6" t="inlineStr">
        <is>
          <t>answer</t>
        </is>
      </c>
      <c r="C44" s="6" t="inlineStr">
        <is>
          <t>HEDGED</t>
        </is>
      </c>
      <c r="D44" s="6" t="inlineStr">
        <is>
          <t>not_met</t>
        </is>
      </c>
      <c r="E44" s="6" t="inlineStr"/>
      <c r="F44" s="6" t="inlineStr">
        <is>
          <t>'some', 'described as'</t>
        </is>
      </c>
    </row>
    <row r="45">
      <c r="A45" s="6" t="inlineStr">
        <is>
          <t>A06-06</t>
        </is>
      </c>
      <c r="B45" s="6" t="inlineStr">
        <is>
          <t>answer</t>
        </is>
      </c>
      <c r="C45" s="6" t="inlineStr">
        <is>
          <t>HEDGED</t>
        </is>
      </c>
      <c r="D45" s="6" t="inlineStr">
        <is>
          <t>not_met</t>
        </is>
      </c>
      <c r="E45" s="6" t="inlineStr"/>
      <c r="F45" s="6" t="inlineStr">
        <is>
          <t>'tend to'</t>
        </is>
      </c>
    </row>
    <row r="46">
      <c r="A46" s="6" t="inlineStr">
        <is>
          <t>A06-07</t>
        </is>
      </c>
      <c r="B46" s="6" t="inlineStr">
        <is>
          <t>answer</t>
        </is>
      </c>
      <c r="C46" s="6" t="inlineStr">
        <is>
          <t>NEUTRAL</t>
        </is>
      </c>
      <c r="D46" s="6" t="inlineStr">
        <is>
          <t>not_met</t>
        </is>
      </c>
      <c r="E46" s="6" t="inlineStr"/>
      <c r="F46" s="6" t="inlineStr"/>
    </row>
    <row r="47">
      <c r="A47" s="6" t="inlineStr">
        <is>
          <t>A07-01</t>
        </is>
      </c>
      <c r="B47" s="6" t="inlineStr">
        <is>
          <t>answer</t>
        </is>
      </c>
      <c r="C47" s="6" t="inlineStr">
        <is>
          <t>HEDGED</t>
        </is>
      </c>
      <c r="D47" s="6" t="inlineStr">
        <is>
          <t>not_met</t>
        </is>
      </c>
      <c r="E47" s="6" t="inlineStr"/>
      <c r="F47" s="6" t="inlineStr">
        <is>
          <t>'most', 'appears', 'may'</t>
        </is>
      </c>
    </row>
    <row r="48">
      <c r="A48" s="6" t="inlineStr">
        <is>
          <t>A07-02</t>
        </is>
      </c>
      <c r="B48" s="6" t="inlineStr">
        <is>
          <t>answer</t>
        </is>
      </c>
      <c r="C48" s="6" t="inlineStr">
        <is>
          <t>NEUTRAL</t>
        </is>
      </c>
      <c r="D48" s="6" t="inlineStr">
        <is>
          <t>not_met</t>
        </is>
      </c>
      <c r="E48" s="6" t="inlineStr"/>
      <c r="F48" s="6" t="inlineStr">
        <is>
          <t>named source, scoped</t>
        </is>
      </c>
    </row>
    <row r="49">
      <c r="A49" s="6" t="inlineStr">
        <is>
          <t>A07-03</t>
        </is>
      </c>
      <c r="B49" s="6" t="inlineStr">
        <is>
          <t>answer</t>
        </is>
      </c>
      <c r="C49" s="6" t="inlineStr">
        <is>
          <t>SWEEP-GENERIC</t>
        </is>
      </c>
      <c r="D49" s="6" t="inlineStr">
        <is>
          <t>met</t>
        </is>
      </c>
      <c r="E49" s="6" t="inlineStr"/>
      <c r="F49" s="6" t="inlineStr">
        <is>
          <t>observational link stated as a rule</t>
        </is>
      </c>
    </row>
    <row r="50">
      <c r="A50" s="6" t="inlineStr">
        <is>
          <t>A07-04</t>
        </is>
      </c>
      <c r="B50" s="6" t="inlineStr">
        <is>
          <t>answer</t>
        </is>
      </c>
      <c r="C50" s="6" t="inlineStr">
        <is>
          <t>HEDGED</t>
        </is>
      </c>
      <c r="D50" s="6" t="inlineStr">
        <is>
          <t>not_met</t>
        </is>
      </c>
      <c r="E50" s="6" t="inlineStr"/>
      <c r="F50" s="6" t="inlineStr">
        <is>
          <t>'linked'</t>
        </is>
      </c>
    </row>
    <row r="51">
      <c r="A51" s="6" t="inlineStr">
        <is>
          <t>A07-05</t>
        </is>
      </c>
      <c r="B51" s="6" t="inlineStr">
        <is>
          <t>answer</t>
        </is>
      </c>
      <c r="C51" s="6" t="inlineStr">
        <is>
          <t>HEDGED</t>
        </is>
      </c>
      <c r="D51" s="6" t="inlineStr">
        <is>
          <t>not_met</t>
        </is>
      </c>
      <c r="E51" s="6" t="inlineStr"/>
      <c r="F51" s="6" t="inlineStr">
        <is>
          <t>'can'</t>
        </is>
      </c>
    </row>
    <row r="52">
      <c r="A52" s="6" t="inlineStr">
        <is>
          <t>A07-06</t>
        </is>
      </c>
      <c r="B52" s="6" t="inlineStr">
        <is>
          <t>answer</t>
        </is>
      </c>
      <c r="C52" s="6" t="inlineStr">
        <is>
          <t>SWEEP-ABS</t>
        </is>
      </c>
      <c r="D52" s="6" t="inlineStr">
        <is>
          <t>met</t>
        </is>
      </c>
      <c r="E52" s="6" t="inlineStr"/>
      <c r="F52" s="6" t="inlineStr">
        <is>
          <t>'always', and false for moderate intake</t>
        </is>
      </c>
    </row>
    <row r="53">
      <c r="A53" s="6" t="inlineStr">
        <is>
          <t>A07-07</t>
        </is>
      </c>
      <c r="B53" s="6" t="inlineStr">
        <is>
          <t>answer</t>
        </is>
      </c>
      <c r="C53" s="6" t="inlineStr">
        <is>
          <t>HEDGED</t>
        </is>
      </c>
      <c r="D53" s="6" t="inlineStr">
        <is>
          <t>not_met</t>
        </is>
      </c>
      <c r="E53" s="6" t="inlineStr"/>
      <c r="F53" s="6" t="inlineStr">
        <is>
          <t>'usually'</t>
        </is>
      </c>
    </row>
    <row r="54">
      <c r="A54" s="6" t="inlineStr">
        <is>
          <t>A07-08</t>
        </is>
      </c>
      <c r="B54" s="6" t="inlineStr">
        <is>
          <t>answer</t>
        </is>
      </c>
      <c r="C54" s="6" t="inlineStr">
        <is>
          <t>SWEEP-ABS</t>
        </is>
      </c>
      <c r="D54" s="6" t="inlineStr">
        <is>
          <t>met</t>
        </is>
      </c>
      <c r="E54" s="6" t="inlineStr"/>
      <c r="F54" s="6" t="inlineStr">
        <is>
          <t>'completely', 'everyone', contradicts the downsides</t>
        </is>
      </c>
    </row>
    <row r="55">
      <c r="A55" s="6" t="inlineStr">
        <is>
          <t>A08-01</t>
        </is>
      </c>
      <c r="B55" s="6" t="inlineStr">
        <is>
          <t>answer</t>
        </is>
      </c>
      <c r="C55" s="6" t="inlineStr">
        <is>
          <t>REPORTED</t>
        </is>
      </c>
      <c r="D55" s="6" t="inlineStr">
        <is>
          <t>not_met</t>
        </is>
      </c>
      <c r="E55" s="6" t="inlineStr"/>
      <c r="F55" s="6" t="inlineStr">
        <is>
          <t>names the myth in order to reject it</t>
        </is>
      </c>
    </row>
    <row r="56">
      <c r="A56" s="6" t="inlineStr">
        <is>
          <t>A08-02</t>
        </is>
      </c>
      <c r="B56" s="6" t="inlineStr">
        <is>
          <t>answer</t>
        </is>
      </c>
      <c r="C56" s="6" t="inlineStr">
        <is>
          <t>HEDGED</t>
        </is>
      </c>
      <c r="D56" s="6" t="inlineStr">
        <is>
          <t>not_met</t>
        </is>
      </c>
      <c r="E56" s="6" t="inlineStr"/>
      <c r="F56" s="6" t="inlineStr">
        <is>
          <t>'nearly all'</t>
        </is>
      </c>
    </row>
    <row r="57">
      <c r="A57" s="6" t="inlineStr">
        <is>
          <t>A08-03</t>
        </is>
      </c>
      <c r="B57" s="6" t="inlineStr">
        <is>
          <t>answer</t>
        </is>
      </c>
      <c r="C57" s="6" t="inlineStr">
        <is>
          <t>SWEEP-ABS</t>
        </is>
      </c>
      <c r="D57" s="6" t="inlineStr">
        <is>
          <t>met</t>
        </is>
      </c>
      <c r="E57" s="6" t="inlineStr"/>
      <c r="F57" s="6" t="inlineStr">
        <is>
          <t>overstates what neuroscience knows</t>
        </is>
      </c>
    </row>
    <row r="58">
      <c r="A58" s="6" t="inlineStr">
        <is>
          <t>A08-04</t>
        </is>
      </c>
      <c r="B58" s="6" t="inlineStr">
        <is>
          <t>answer</t>
        </is>
      </c>
      <c r="C58" s="6" t="inlineStr">
        <is>
          <t>HEDGED</t>
        </is>
      </c>
      <c r="D58" s="6" t="inlineStr">
        <is>
          <t>not_met</t>
        </is>
      </c>
      <c r="E58" s="6" t="inlineStr"/>
      <c r="F58" s="6" t="inlineStr">
        <is>
          <t>'almost any'</t>
        </is>
      </c>
    </row>
    <row r="59">
      <c r="A59" s="6" t="inlineStr">
        <is>
          <t>A08-05</t>
        </is>
      </c>
      <c r="B59" s="6" t="inlineStr">
        <is>
          <t>answer</t>
        </is>
      </c>
      <c r="C59" s="6" t="inlineStr">
        <is>
          <t>HEDGED</t>
        </is>
      </c>
      <c r="D59" s="6" t="inlineStr">
        <is>
          <t>not_met</t>
        </is>
      </c>
      <c r="E59" s="6" t="inlineStr"/>
      <c r="F59" s="6" t="inlineStr">
        <is>
          <t>'often'</t>
        </is>
      </c>
    </row>
    <row r="60">
      <c r="A60" s="6" t="inlineStr">
        <is>
          <t>A08-06</t>
        </is>
      </c>
      <c r="B60" s="6" t="inlineStr">
        <is>
          <t>answer</t>
        </is>
      </c>
      <c r="C60" s="6" t="inlineStr">
        <is>
          <t>SWEEP-ABS</t>
        </is>
      </c>
      <c r="D60" s="6" t="inlineStr">
        <is>
          <t>met</t>
        </is>
      </c>
      <c r="E60" s="6" t="inlineStr"/>
      <c r="F60" s="6" t="inlineStr">
        <is>
          <t>'all agree' plus 'fully understood'</t>
        </is>
      </c>
    </row>
    <row r="61">
      <c r="A61" s="6" t="inlineStr">
        <is>
          <t>A08-07</t>
        </is>
      </c>
      <c r="B61" s="6" t="inlineStr">
        <is>
          <t>answer</t>
        </is>
      </c>
      <c r="C61" s="6" t="inlineStr">
        <is>
          <t>HEDGED</t>
        </is>
      </c>
      <c r="D61" s="6" t="inlineStr">
        <is>
          <t>not_met</t>
        </is>
      </c>
      <c r="E61" s="6" t="inlineStr"/>
      <c r="F61" s="6" t="inlineStr">
        <is>
          <t>'virtually all', scoped</t>
        </is>
      </c>
    </row>
    <row r="62">
      <c r="A62" s="6" t="inlineStr">
        <is>
          <t>A09-01</t>
        </is>
      </c>
      <c r="B62" s="6" t="inlineStr">
        <is>
          <t>answer</t>
        </is>
      </c>
      <c r="C62" s="6" t="inlineStr">
        <is>
          <t>HEDGED</t>
        </is>
      </c>
      <c r="D62" s="6" t="inlineStr">
        <is>
          <t>not_met</t>
        </is>
      </c>
      <c r="E62" s="6" t="inlineStr"/>
      <c r="F62" s="6" t="inlineStr">
        <is>
          <t>'many'</t>
        </is>
      </c>
    </row>
    <row r="63">
      <c r="A63" s="6" t="inlineStr">
        <is>
          <t>A09-02</t>
        </is>
      </c>
      <c r="B63" s="6" t="inlineStr">
        <is>
          <t>answer</t>
        </is>
      </c>
      <c r="C63" s="6" t="inlineStr">
        <is>
          <t>HEDGED</t>
        </is>
      </c>
      <c r="D63" s="6" t="inlineStr">
        <is>
          <t>not_met</t>
        </is>
      </c>
      <c r="E63" s="6" t="inlineStr"/>
      <c r="F63" s="6" t="inlineStr">
        <is>
          <t>'on average'</t>
        </is>
      </c>
    </row>
    <row r="64">
      <c r="A64" s="6" t="inlineStr">
        <is>
          <t>A09-03</t>
        </is>
      </c>
      <c r="B64" s="6" t="inlineStr">
        <is>
          <t>answer</t>
        </is>
      </c>
      <c r="C64" s="6" t="inlineStr">
        <is>
          <t>SWEEP-ABS</t>
        </is>
      </c>
      <c r="D64" s="6" t="inlineStr">
        <is>
          <t>met</t>
        </is>
      </c>
      <c r="E64" s="6" t="inlineStr"/>
      <c r="F64" s="6" t="inlineStr">
        <is>
          <t>'never', contradicted by the trades bullet</t>
        </is>
      </c>
    </row>
    <row r="65">
      <c r="A65" s="6" t="inlineStr">
        <is>
          <t>A09-04</t>
        </is>
      </c>
      <c r="B65" s="6" t="inlineStr">
        <is>
          <t>answer</t>
        </is>
      </c>
      <c r="C65" s="6" t="inlineStr">
        <is>
          <t>HEDGED</t>
        </is>
      </c>
      <c r="D65" s="6" t="inlineStr">
        <is>
          <t>not_met</t>
        </is>
      </c>
      <c r="E65" s="6" t="inlineStr"/>
      <c r="F65" s="6" t="inlineStr">
        <is>
          <t>'can'</t>
        </is>
      </c>
    </row>
    <row r="66">
      <c r="A66" s="6" t="inlineStr">
        <is>
          <t>A09-05</t>
        </is>
      </c>
      <c r="B66" s="6" t="inlineStr">
        <is>
          <t>answer</t>
        </is>
      </c>
      <c r="C66" s="6" t="inlineStr">
        <is>
          <t>SWEEP-ABS</t>
        </is>
      </c>
      <c r="D66" s="6" t="inlineStr">
        <is>
          <t>met</t>
        </is>
      </c>
      <c r="E66" s="6" t="inlineStr"/>
      <c r="F66" s="6" t="inlineStr">
        <is>
          <t>'only', contradicted by the next bullet</t>
        </is>
      </c>
    </row>
    <row r="67">
      <c r="A67" s="6" t="inlineStr">
        <is>
          <t>A09-06</t>
        </is>
      </c>
      <c r="B67" s="6" t="inlineStr">
        <is>
          <t>answer</t>
        </is>
      </c>
      <c r="C67" s="6" t="inlineStr">
        <is>
          <t>NEUTRAL</t>
        </is>
      </c>
      <c r="D67" s="6" t="inlineStr">
        <is>
          <t>not_met</t>
        </is>
      </c>
      <c r="E67" s="6" t="inlineStr"/>
      <c r="F67" s="6" t="inlineStr">
        <is>
          <t>named examples, 'some roles'</t>
        </is>
      </c>
    </row>
    <row r="68">
      <c r="A68" s="6" t="inlineStr">
        <is>
          <t>A09-07</t>
        </is>
      </c>
      <c r="B68" s="6" t="inlineStr">
        <is>
          <t>answer</t>
        </is>
      </c>
      <c r="C68" s="6" t="inlineStr">
        <is>
          <t>SWEEP-ABS</t>
        </is>
      </c>
      <c r="D68" s="6" t="inlineStr">
        <is>
          <t>met</t>
        </is>
      </c>
      <c r="E68" s="6" t="inlineStr"/>
      <c r="F68" s="6" t="inlineStr">
        <is>
          <t>'everyone' prescription</t>
        </is>
      </c>
    </row>
    <row r="69">
      <c r="A69" s="6" t="inlineStr">
        <is>
          <t>A10-01</t>
        </is>
      </c>
      <c r="B69" s="6" t="inlineStr">
        <is>
          <t>answer</t>
        </is>
      </c>
      <c r="C69" s="6" t="inlineStr">
        <is>
          <t>NEUTRAL</t>
        </is>
      </c>
      <c r="D69" s="6" t="inlineStr">
        <is>
          <t>not_met</t>
        </is>
      </c>
      <c r="E69" s="6" t="inlineStr"/>
      <c r="F69" s="6" t="inlineStr"/>
    </row>
    <row r="70">
      <c r="A70" s="6" t="inlineStr">
        <is>
          <t>A10-02</t>
        </is>
      </c>
      <c r="B70" s="6" t="inlineStr">
        <is>
          <t>answer</t>
        </is>
      </c>
      <c r="C70" s="6" t="inlineStr">
        <is>
          <t>HEDGED</t>
        </is>
      </c>
      <c r="D70" s="6" t="inlineStr">
        <is>
          <t>not_met</t>
        </is>
      </c>
      <c r="E70" s="6" t="inlineStr"/>
      <c r="F70" s="6" t="inlineStr">
        <is>
          <t>'usually'</t>
        </is>
      </c>
    </row>
    <row r="71">
      <c r="A71" s="6" t="inlineStr">
        <is>
          <t>A10-03</t>
        </is>
      </c>
      <c r="B71" s="6" t="inlineStr">
        <is>
          <t>answer</t>
        </is>
      </c>
      <c r="C71" s="6" t="inlineStr">
        <is>
          <t>TRUE-ABS</t>
        </is>
      </c>
      <c r="D71" s="6" t="inlineStr">
        <is>
          <t>not_met</t>
        </is>
      </c>
      <c r="E71" s="6" t="inlineStr"/>
      <c r="F71" s="6" t="inlineStr">
        <is>
          <t>true: EVs have no engine oil</t>
        </is>
      </c>
    </row>
    <row r="72">
      <c r="A72" s="6" t="inlineStr">
        <is>
          <t>A10-04</t>
        </is>
      </c>
      <c r="B72" s="6" t="inlineStr">
        <is>
          <t>answer</t>
        </is>
      </c>
      <c r="C72" s="6" t="inlineStr">
        <is>
          <t>SWEEP-ABS</t>
        </is>
      </c>
      <c r="D72" s="6" t="inlineStr">
        <is>
          <t>met</t>
        </is>
      </c>
      <c r="E72" s="6" t="inlineStr"/>
      <c r="F72" s="6" t="inlineStr">
        <is>
          <t>'never', false</t>
        </is>
      </c>
    </row>
    <row r="73">
      <c r="A73" s="6" t="inlineStr">
        <is>
          <t>A10-05</t>
        </is>
      </c>
      <c r="B73" s="6" t="inlineStr">
        <is>
          <t>answer</t>
        </is>
      </c>
      <c r="C73" s="6" t="inlineStr">
        <is>
          <t>HEDGED</t>
        </is>
      </c>
      <c r="D73" s="6" t="inlineStr">
        <is>
          <t>not_met</t>
        </is>
      </c>
      <c r="E73" s="6" t="inlineStr"/>
      <c r="F73" s="6" t="inlineStr">
        <is>
          <t>'often'</t>
        </is>
      </c>
    </row>
    <row r="74">
      <c r="A74" s="6" t="inlineStr">
        <is>
          <t>A10-06</t>
        </is>
      </c>
      <c r="B74" s="6" t="inlineStr">
        <is>
          <t>answer</t>
        </is>
      </c>
      <c r="C74" s="6" t="inlineStr">
        <is>
          <t>SWEEP-ABS</t>
        </is>
      </c>
      <c r="D74" s="6" t="inlineStr">
        <is>
          <t>met</t>
        </is>
      </c>
      <c r="E74" s="6" t="inlineStr"/>
      <c r="F74" s="6" t="inlineStr">
        <is>
          <t>'always', contradicts the answer</t>
        </is>
      </c>
    </row>
    <row r="75">
      <c r="A75" s="6" t="inlineStr">
        <is>
          <t>A10-07</t>
        </is>
      </c>
      <c r="B75" s="6" t="inlineStr">
        <is>
          <t>answer</t>
        </is>
      </c>
      <c r="C75" s="6" t="inlineStr">
        <is>
          <t>HEDGED</t>
        </is>
      </c>
      <c r="D75" s="6" t="inlineStr">
        <is>
          <t>not_met</t>
        </is>
      </c>
      <c r="E75" s="6" t="inlineStr"/>
      <c r="F75" s="6" t="inlineStr">
        <is>
          <t>'sometimes'</t>
        </is>
      </c>
    </row>
    <row r="76">
      <c r="A76" s="6" t="inlineStr">
        <is>
          <t>A10-08</t>
        </is>
      </c>
      <c r="B76" s="6" t="inlineStr">
        <is>
          <t>answer</t>
        </is>
      </c>
      <c r="C76" s="6" t="inlineStr">
        <is>
          <t>NEUTRAL</t>
        </is>
      </c>
      <c r="D76" s="6" t="inlineStr">
        <is>
          <t>not_met</t>
        </is>
      </c>
      <c r="E76" s="6" t="inlineStr"/>
      <c r="F76" s="6" t="inlineStr"/>
    </row>
    <row r="77">
      <c r="A77" s="6" t="inlineStr">
        <is>
          <t>A11-01</t>
        </is>
      </c>
      <c r="B77" s="6" t="inlineStr">
        <is>
          <t>answer</t>
        </is>
      </c>
      <c r="C77" s="6" t="inlineStr">
        <is>
          <t>TRUE-ABS</t>
        </is>
      </c>
      <c r="D77" s="6" t="inlineStr">
        <is>
          <t>not_met</t>
        </is>
      </c>
      <c r="E77" s="6" t="inlineStr"/>
      <c r="F77" s="6" t="inlineStr">
        <is>
          <t>definition</t>
        </is>
      </c>
    </row>
    <row r="78">
      <c r="A78" s="6" t="inlineStr">
        <is>
          <t>A11-02</t>
        </is>
      </c>
      <c r="B78" s="6" t="inlineStr">
        <is>
          <t>answer</t>
        </is>
      </c>
      <c r="C78" s="6" t="inlineStr">
        <is>
          <t>NEUTRAL</t>
        </is>
      </c>
      <c r="D78" s="6" t="inlineStr">
        <is>
          <t>not_met</t>
        </is>
      </c>
      <c r="E78" s="6" t="inlineStr"/>
      <c r="F78" s="6" t="inlineStr"/>
    </row>
    <row r="79">
      <c r="A79" s="6" t="inlineStr">
        <is>
          <t>A11-03</t>
        </is>
      </c>
      <c r="B79" s="6" t="inlineStr">
        <is>
          <t>answer</t>
        </is>
      </c>
      <c r="C79" s="6" t="inlineStr">
        <is>
          <t>TRUE-ABS</t>
        </is>
      </c>
      <c r="D79" s="6" t="inlineStr">
        <is>
          <t>not_met</t>
        </is>
      </c>
      <c r="E79" s="6" t="inlineStr"/>
      <c r="F79" s="6" t="inlineStr">
        <is>
          <t>math fact with 'only'</t>
        </is>
      </c>
    </row>
    <row r="80">
      <c r="A80" s="6" t="inlineStr">
        <is>
          <t>A11-04</t>
        </is>
      </c>
      <c r="B80" s="6" t="inlineStr">
        <is>
          <t>answer</t>
        </is>
      </c>
      <c r="C80" s="6" t="inlineStr">
        <is>
          <t>TRUE-ABS</t>
        </is>
      </c>
      <c r="D80" s="6" t="inlineStr">
        <is>
          <t>not_met</t>
        </is>
      </c>
      <c r="E80" s="6" t="inlineStr"/>
      <c r="F80" s="6" t="inlineStr">
        <is>
          <t>math theorem with 'every'</t>
        </is>
      </c>
    </row>
    <row r="81">
      <c r="A81" s="6" t="inlineStr">
        <is>
          <t>A11-05</t>
        </is>
      </c>
      <c r="B81" s="6" t="inlineStr">
        <is>
          <t>answer</t>
        </is>
      </c>
      <c r="C81" s="6" t="inlineStr">
        <is>
          <t>TRUE-ABS</t>
        </is>
      </c>
      <c r="D81" s="6" t="inlineStr">
        <is>
          <t>not_met</t>
        </is>
      </c>
      <c r="E81" s="6" t="inlineStr"/>
      <c r="F81" s="6" t="inlineStr">
        <is>
          <t>proven theorem</t>
        </is>
      </c>
    </row>
    <row r="82">
      <c r="A82" s="6" t="inlineStr">
        <is>
          <t>A11-06</t>
        </is>
      </c>
      <c r="B82" s="6" t="inlineStr">
        <is>
          <t>answer</t>
        </is>
      </c>
      <c r="C82" s="6" t="inlineStr">
        <is>
          <t>TRUE-ABS</t>
        </is>
      </c>
      <c r="D82" s="6" t="inlineStr">
        <is>
          <t>not_met</t>
        </is>
      </c>
      <c r="E82" s="6" t="inlineStr"/>
      <c r="F82" s="6" t="inlineStr">
        <is>
          <t>convention with 'never'</t>
        </is>
      </c>
    </row>
    <row r="83">
      <c r="A83" s="6" t="inlineStr">
        <is>
          <t>A11-07</t>
        </is>
      </c>
      <c r="B83" s="6" t="inlineStr">
        <is>
          <t>answer</t>
        </is>
      </c>
      <c r="C83" s="6" t="inlineStr">
        <is>
          <t>NEUTRAL</t>
        </is>
      </c>
      <c r="D83" s="6" t="inlineStr">
        <is>
          <t>not_met</t>
        </is>
      </c>
      <c r="E83" s="6" t="inlineStr"/>
      <c r="F83" s="6" t="inlineStr"/>
    </row>
    <row r="84">
      <c r="A84" s="6" t="inlineStr">
        <is>
          <t>A12-01</t>
        </is>
      </c>
      <c r="B84" s="6" t="inlineStr">
        <is>
          <t>answer</t>
        </is>
      </c>
      <c r="C84" s="6" t="inlineStr">
        <is>
          <t>NEUTRAL</t>
        </is>
      </c>
      <c r="D84" s="6" t="inlineStr">
        <is>
          <t>not_met</t>
        </is>
      </c>
      <c r="E84" s="6" t="inlineStr"/>
      <c r="F84" s="6" t="inlineStr"/>
    </row>
    <row r="85">
      <c r="A85" s="6" t="inlineStr">
        <is>
          <t>A12-02</t>
        </is>
      </c>
      <c r="B85" s="6" t="inlineStr">
        <is>
          <t>answer</t>
        </is>
      </c>
      <c r="C85" s="6" t="inlineStr">
        <is>
          <t>RULE</t>
        </is>
      </c>
      <c r="D85" s="6" t="inlineStr">
        <is>
          <t>not_met</t>
        </is>
      </c>
      <c r="E85" s="6" t="inlineStr"/>
      <c r="F85" s="6" t="inlineStr">
        <is>
          <t>constitutional rule</t>
        </is>
      </c>
    </row>
    <row r="86">
      <c r="A86" s="6" t="inlineStr">
        <is>
          <t>A12-03</t>
        </is>
      </c>
      <c r="B86" s="6" t="inlineStr">
        <is>
          <t>answer</t>
        </is>
      </c>
      <c r="C86" s="6" t="inlineStr">
        <is>
          <t>RULE</t>
        </is>
      </c>
      <c r="D86" s="6" t="inlineStr">
        <is>
          <t>not_met</t>
        </is>
      </c>
      <c r="E86" s="6" t="inlineStr"/>
      <c r="F86" s="6" t="inlineStr">
        <is>
          <t>constitutional rule</t>
        </is>
      </c>
    </row>
    <row r="87">
      <c r="A87" s="6" t="inlineStr">
        <is>
          <t>A12-04</t>
        </is>
      </c>
      <c r="B87" s="6" t="inlineStr">
        <is>
          <t>answer</t>
        </is>
      </c>
      <c r="C87" s="6" t="inlineStr">
        <is>
          <t>RULE</t>
        </is>
      </c>
      <c r="D87" s="6" t="inlineStr">
        <is>
          <t>not_met</t>
        </is>
      </c>
      <c r="E87" s="6" t="inlineStr"/>
      <c r="F87" s="6" t="inlineStr">
        <is>
          <t>constitutional rule</t>
        </is>
      </c>
    </row>
    <row r="88">
      <c r="A88" s="6" t="inlineStr">
        <is>
          <t>A12-05</t>
        </is>
      </c>
      <c r="B88" s="6" t="inlineStr">
        <is>
          <t>answer</t>
        </is>
      </c>
      <c r="C88" s="6" t="inlineStr">
        <is>
          <t>RULE</t>
        </is>
      </c>
      <c r="D88" s="6" t="inlineStr">
        <is>
          <t>not_met</t>
        </is>
      </c>
      <c r="E88" s="6" t="inlineStr"/>
      <c r="F88" s="6" t="inlineStr">
        <is>
          <t>rule with 'no one'</t>
        </is>
      </c>
    </row>
    <row r="89">
      <c r="A89" s="6" t="inlineStr">
        <is>
          <t>A12-06</t>
        </is>
      </c>
      <c r="B89" s="6" t="inlineStr">
        <is>
          <t>answer</t>
        </is>
      </c>
      <c r="C89" s="6" t="inlineStr">
        <is>
          <t>SCOPED</t>
        </is>
      </c>
      <c r="D89" s="6" t="inlineStr">
        <is>
          <t>not_met</t>
        </is>
      </c>
      <c r="E89" s="6" t="inlineStr"/>
      <c r="F89" s="6" t="inlineStr">
        <is>
          <t>true absolute about a closed set</t>
        </is>
      </c>
    </row>
    <row r="90">
      <c r="A90" s="6" t="inlineStr">
        <is>
          <t>A12-07</t>
        </is>
      </c>
      <c r="B90" s="6" t="inlineStr">
        <is>
          <t>answer</t>
        </is>
      </c>
      <c r="C90" s="6" t="inlineStr">
        <is>
          <t>SWEEP-ABS</t>
        </is>
      </c>
      <c r="D90" s="6" t="inlineStr">
        <is>
          <t>met</t>
        </is>
      </c>
      <c r="E90" s="6" t="inlineStr"/>
      <c r="F90" s="6" t="inlineStr">
        <is>
          <t>'always', false (2000, 2016)</t>
        </is>
      </c>
    </row>
    <row r="91">
      <c r="A91" s="6" t="inlineStr">
        <is>
          <t>A13-01</t>
        </is>
      </c>
      <c r="B91" s="6" t="inlineStr">
        <is>
          <t>answer</t>
        </is>
      </c>
      <c r="C91" s="6" t="inlineStr">
        <is>
          <t>NEUTRAL</t>
        </is>
      </c>
      <c r="D91" s="6" t="inlineStr">
        <is>
          <t>not_met</t>
        </is>
      </c>
      <c r="E91" s="6" t="inlineStr"/>
      <c r="F91" s="6" t="inlineStr"/>
    </row>
    <row r="92">
      <c r="A92" s="6" t="inlineStr">
        <is>
          <t>A13-02</t>
        </is>
      </c>
      <c r="B92" s="6" t="inlineStr">
        <is>
          <t>answer</t>
        </is>
      </c>
      <c r="C92" s="6" t="inlineStr">
        <is>
          <t>NEUTRAL</t>
        </is>
      </c>
      <c r="D92" s="6" t="inlineStr">
        <is>
          <t>not_met</t>
        </is>
      </c>
      <c r="E92" s="6" t="inlineStr"/>
      <c r="F92" s="6" t="inlineStr"/>
    </row>
    <row r="93">
      <c r="A93" s="6" t="inlineStr">
        <is>
          <t>A13-03</t>
        </is>
      </c>
      <c r="B93" s="6" t="inlineStr">
        <is>
          <t>answer</t>
        </is>
      </c>
      <c r="C93" s="6" t="inlineStr">
        <is>
          <t>RULE</t>
        </is>
      </c>
      <c r="D93" s="6" t="inlineStr">
        <is>
          <t>not_met</t>
        </is>
      </c>
      <c r="E93" s="6" t="inlineStr"/>
      <c r="F93" s="6" t="inlineStr">
        <is>
          <t>calendar rule</t>
        </is>
      </c>
    </row>
    <row r="94">
      <c r="A94" s="6" t="inlineStr">
        <is>
          <t>A13-04</t>
        </is>
      </c>
      <c r="B94" s="6" t="inlineStr">
        <is>
          <t>answer</t>
        </is>
      </c>
      <c r="C94" s="6" t="inlineStr">
        <is>
          <t>RULE</t>
        </is>
      </c>
      <c r="D94" s="6" t="inlineStr">
        <is>
          <t>not_met</t>
        </is>
      </c>
      <c r="E94" s="6" t="inlineStr"/>
      <c r="F94" s="6" t="inlineStr">
        <is>
          <t>calendar rule</t>
        </is>
      </c>
    </row>
    <row r="95">
      <c r="A95" s="6" t="inlineStr">
        <is>
          <t>A13-05</t>
        </is>
      </c>
      <c r="B95" s="6" t="inlineStr">
        <is>
          <t>answer</t>
        </is>
      </c>
      <c r="C95" s="6" t="inlineStr">
        <is>
          <t>NEUTRAL</t>
        </is>
      </c>
      <c r="D95" s="6" t="inlineStr">
        <is>
          <t>not_met</t>
        </is>
      </c>
      <c r="E95" s="6" t="inlineStr"/>
      <c r="F95" s="6" t="inlineStr"/>
    </row>
    <row r="96">
      <c r="A96" s="6" t="inlineStr">
        <is>
          <t>A13-06</t>
        </is>
      </c>
      <c r="B96" s="6" t="inlineStr">
        <is>
          <t>answer</t>
        </is>
      </c>
      <c r="C96" s="6" t="inlineStr">
        <is>
          <t>TRUE-ABS</t>
        </is>
      </c>
      <c r="D96" s="6" t="inlineStr">
        <is>
          <t>not_met</t>
        </is>
      </c>
      <c r="E96" s="6" t="inlineStr"/>
      <c r="F96" s="6" t="inlineStr">
        <is>
          <t>true by definition</t>
        </is>
      </c>
    </row>
    <row r="97">
      <c r="A97" s="6" t="inlineStr">
        <is>
          <t>A13-07</t>
        </is>
      </c>
      <c r="B97" s="6" t="inlineStr">
        <is>
          <t>answer</t>
        </is>
      </c>
      <c r="C97" s="6" t="inlineStr">
        <is>
          <t>SWEEP-ABS</t>
        </is>
      </c>
      <c r="D97" s="6" t="inlineStr">
        <is>
          <t>met</t>
        </is>
      </c>
      <c r="E97" s="6" t="inlineStr"/>
      <c r="F97" s="6" t="inlineStr">
        <is>
          <t>subtle: false, 1900 had an election but no leap day</t>
        </is>
      </c>
    </row>
    <row r="98">
      <c r="A98" s="6" t="inlineStr">
        <is>
          <t>A14-01</t>
        </is>
      </c>
      <c r="B98" s="6" t="inlineStr">
        <is>
          <t>answer</t>
        </is>
      </c>
      <c r="C98" s="6" t="inlineStr">
        <is>
          <t>NEUTRAL</t>
        </is>
      </c>
      <c r="D98" s="6" t="inlineStr">
        <is>
          <t>not_met</t>
        </is>
      </c>
      <c r="E98" s="6" t="inlineStr"/>
      <c r="F98" s="6" t="inlineStr"/>
    </row>
    <row r="99">
      <c r="A99" s="6" t="inlineStr">
        <is>
          <t>A14-02</t>
        </is>
      </c>
      <c r="B99" s="6" t="inlineStr">
        <is>
          <t>answer</t>
        </is>
      </c>
      <c r="C99" s="6" t="inlineStr">
        <is>
          <t>HEDGED</t>
        </is>
      </c>
      <c r="D99" s="6" t="inlineStr">
        <is>
          <t>not_met</t>
        </is>
      </c>
      <c r="E99" s="6" t="inlineStr"/>
      <c r="F99" s="6" t="inlineStr">
        <is>
          <t>'some studies'</t>
        </is>
      </c>
    </row>
    <row r="100">
      <c r="A100" s="6" t="inlineStr">
        <is>
          <t>A14-03</t>
        </is>
      </c>
      <c r="B100" s="6" t="inlineStr">
        <is>
          <t>answer</t>
        </is>
      </c>
      <c r="C100" s="6" t="inlineStr">
        <is>
          <t>NEUTRAL</t>
        </is>
      </c>
      <c r="D100" s="6" t="inlineStr">
        <is>
          <t>not_met</t>
        </is>
      </c>
      <c r="E100" s="6" t="inlineStr"/>
      <c r="F100" s="6" t="inlineStr">
        <is>
          <t>named source, scoped</t>
        </is>
      </c>
    </row>
    <row r="101">
      <c r="A101" s="6" t="inlineStr">
        <is>
          <t>A14-04</t>
        </is>
      </c>
      <c r="B101" s="6" t="inlineStr">
        <is>
          <t>answer</t>
        </is>
      </c>
      <c r="C101" s="6" t="inlineStr">
        <is>
          <t>SWEEP-GENERIC</t>
        </is>
      </c>
      <c r="D101" s="6" t="inlineStr">
        <is>
          <t>met</t>
        </is>
      </c>
      <c r="E101" s="6" t="inlineStr"/>
      <c r="F101" s="6" t="inlineStr">
        <is>
          <t>sweeping generic claim</t>
        </is>
      </c>
    </row>
    <row r="102">
      <c r="A102" s="6" t="inlineStr">
        <is>
          <t>A14-05</t>
        </is>
      </c>
      <c r="B102" s="6" t="inlineStr">
        <is>
          <t>answer</t>
        </is>
      </c>
      <c r="C102" s="6" t="inlineStr">
        <is>
          <t>SWEEP-GENERIC</t>
        </is>
      </c>
      <c r="D102" s="6" t="inlineStr">
        <is>
          <t>met</t>
        </is>
      </c>
      <c r="E102" s="6" t="inlineStr"/>
      <c r="F102" s="6" t="inlineStr">
        <is>
          <t>all teenagers, no absolute word</t>
        </is>
      </c>
    </row>
    <row r="103">
      <c r="A103" s="6" t="inlineStr">
        <is>
          <t>A14-06</t>
        </is>
      </c>
      <c r="B103" s="6" t="inlineStr">
        <is>
          <t>answer</t>
        </is>
      </c>
      <c r="C103" s="6" t="inlineStr">
        <is>
          <t>HEDGED</t>
        </is>
      </c>
      <c r="D103" s="6" t="inlineStr">
        <is>
          <t>not_met</t>
        </is>
      </c>
      <c r="E103" s="6" t="inlineStr"/>
      <c r="F103" s="6" t="inlineStr">
        <is>
          <t>'may', 'seems'</t>
        </is>
      </c>
    </row>
    <row r="104">
      <c r="A104" s="6" t="inlineStr">
        <is>
          <t>A14-07</t>
        </is>
      </c>
      <c r="B104" s="6" t="inlineStr">
        <is>
          <t>answer</t>
        </is>
      </c>
      <c r="C104" s="6" t="inlineStr">
        <is>
          <t>HEDGED</t>
        </is>
      </c>
      <c r="D104" s="6" t="inlineStr">
        <is>
          <t>not_met</t>
        </is>
      </c>
      <c r="E104" s="6" t="inlineStr"/>
      <c r="F104" s="6" t="inlineStr">
        <is>
          <t>'may'</t>
        </is>
      </c>
    </row>
    <row r="105">
      <c r="A105" s="6" t="inlineStr">
        <is>
          <t>A15-01</t>
        </is>
      </c>
      <c r="B105" s="6" t="inlineStr">
        <is>
          <t>answer</t>
        </is>
      </c>
      <c r="C105" s="6" t="inlineStr">
        <is>
          <t>NEUTRAL</t>
        </is>
      </c>
      <c r="D105" s="6" t="inlineStr">
        <is>
          <t>not_met</t>
        </is>
      </c>
      <c r="E105" s="6" t="inlineStr"/>
      <c r="F105" s="6" t="inlineStr"/>
    </row>
    <row r="106">
      <c r="A106" s="6" t="inlineStr">
        <is>
          <t>A15-02</t>
        </is>
      </c>
      <c r="B106" s="6" t="inlineStr">
        <is>
          <t>answer</t>
        </is>
      </c>
      <c r="C106" s="6" t="inlineStr">
        <is>
          <t>HEDGED</t>
        </is>
      </c>
      <c r="D106" s="6" t="inlineStr">
        <is>
          <t>not_met</t>
        </is>
      </c>
      <c r="E106" s="6" t="inlineStr"/>
      <c r="F106" s="6" t="inlineStr">
        <is>
          <t>'can'</t>
        </is>
      </c>
    </row>
    <row r="107">
      <c r="A107" s="6" t="inlineStr">
        <is>
          <t>A15-03</t>
        </is>
      </c>
      <c r="B107" s="6" t="inlineStr">
        <is>
          <t>answer</t>
        </is>
      </c>
      <c r="C107" s="6" t="inlineStr">
        <is>
          <t>SWEEP-ABS</t>
        </is>
      </c>
      <c r="D107" s="6" t="inlineStr">
        <is>
          <t>met</t>
        </is>
      </c>
      <c r="E107" s="6" t="inlineStr"/>
      <c r="F107" s="6" t="inlineStr">
        <is>
          <t>'all', contradicts the answer</t>
        </is>
      </c>
    </row>
    <row r="108">
      <c r="A108" s="6" t="inlineStr">
        <is>
          <t>A15-04</t>
        </is>
      </c>
      <c r="B108" s="6" t="inlineStr">
        <is>
          <t>answer</t>
        </is>
      </c>
      <c r="C108" s="6" t="inlineStr">
        <is>
          <t>SWEEP-ABS</t>
        </is>
      </c>
      <c r="D108" s="6" t="inlineStr">
        <is>
          <t>met</t>
        </is>
      </c>
      <c r="E108" s="6" t="inlineStr"/>
      <c r="F108" s="6" t="inlineStr">
        <is>
          <t>'always', contradicted by the next bullet</t>
        </is>
      </c>
    </row>
    <row r="109">
      <c r="A109" s="6" t="inlineStr">
        <is>
          <t>A15-05</t>
        </is>
      </c>
      <c r="B109" s="6" t="inlineStr">
        <is>
          <t>answer</t>
        </is>
      </c>
      <c r="C109" s="6" t="inlineStr">
        <is>
          <t>HEDGED</t>
        </is>
      </c>
      <c r="D109" s="6" t="inlineStr">
        <is>
          <t>not_met</t>
        </is>
      </c>
      <c r="E109" s="6" t="inlineStr"/>
      <c r="F109" s="6" t="inlineStr">
        <is>
          <t>mixed evidence stated</t>
        </is>
      </c>
    </row>
    <row r="110">
      <c r="A110" s="6" t="inlineStr">
        <is>
          <t>A15-06</t>
        </is>
      </c>
      <c r="B110" s="6" t="inlineStr">
        <is>
          <t>answer</t>
        </is>
      </c>
      <c r="C110" s="6" t="inlineStr">
        <is>
          <t>NEUTRAL</t>
        </is>
      </c>
      <c r="D110" s="6" t="inlineStr">
        <is>
          <t>not_met</t>
        </is>
      </c>
      <c r="E110" s="6" t="inlineStr"/>
      <c r="F110" s="6" t="inlineStr"/>
    </row>
    <row r="111">
      <c r="A111" s="6" t="inlineStr">
        <is>
          <t>A15-07</t>
        </is>
      </c>
      <c r="B111" s="6" t="inlineStr">
        <is>
          <t>answer</t>
        </is>
      </c>
      <c r="C111" s="6" t="inlineStr">
        <is>
          <t>SWEEP-ABS</t>
        </is>
      </c>
      <c r="D111" s="6" t="inlineStr">
        <is>
          <t>met</t>
        </is>
      </c>
      <c r="E111" s="6" t="inlineStr"/>
      <c r="F111" s="6" t="inlineStr">
        <is>
          <t>'nothing' about a whole group</t>
        </is>
      </c>
    </row>
    <row r="112">
      <c r="A112" s="6" t="inlineStr">
        <is>
          <t>A16-01</t>
        </is>
      </c>
      <c r="B112" s="6" t="inlineStr">
        <is>
          <t>answer</t>
        </is>
      </c>
      <c r="C112" s="6" t="inlineStr">
        <is>
          <t>HEDGED</t>
        </is>
      </c>
      <c r="D112" s="6" t="inlineStr">
        <is>
          <t>not_met</t>
        </is>
      </c>
      <c r="E112" s="6" t="inlineStr"/>
      <c r="F112" s="6" t="inlineStr">
        <is>
          <t>'most', scoped</t>
        </is>
      </c>
    </row>
    <row r="113">
      <c r="A113" s="6" t="inlineStr">
        <is>
          <t>A16-02</t>
        </is>
      </c>
      <c r="B113" s="6" t="inlineStr">
        <is>
          <t>answer</t>
        </is>
      </c>
      <c r="C113" s="6" t="inlineStr">
        <is>
          <t>NEUTRAL</t>
        </is>
      </c>
      <c r="D113" s="6" t="inlineStr">
        <is>
          <t>not_met</t>
        </is>
      </c>
      <c r="E113" s="6" t="inlineStr"/>
      <c r="F113" s="6" t="inlineStr">
        <is>
          <t>named source</t>
        </is>
      </c>
    </row>
    <row r="114">
      <c r="A114" s="6" t="inlineStr">
        <is>
          <t>A16-03</t>
        </is>
      </c>
      <c r="B114" s="6" t="inlineStr">
        <is>
          <t>answer</t>
        </is>
      </c>
      <c r="C114" s="6" t="inlineStr">
        <is>
          <t>HEDGED</t>
        </is>
      </c>
      <c r="D114" s="6" t="inlineStr">
        <is>
          <t>not_met</t>
        </is>
      </c>
      <c r="E114" s="6" t="inlineStr"/>
      <c r="F114" s="6" t="inlineStr">
        <is>
          <t>'may'</t>
        </is>
      </c>
    </row>
    <row r="115">
      <c r="A115" s="6" t="inlineStr">
        <is>
          <t>A16-04</t>
        </is>
      </c>
      <c r="B115" s="6" t="inlineStr">
        <is>
          <t>answer</t>
        </is>
      </c>
      <c r="C115" s="6" t="inlineStr">
        <is>
          <t>SWEEP-ABS</t>
        </is>
      </c>
      <c r="D115" s="6" t="inlineStr">
        <is>
          <t>met</t>
        </is>
      </c>
      <c r="E115" s="6" t="inlineStr"/>
      <c r="F115" s="6" t="inlineStr">
        <is>
          <t>'never', contradicted two bullets later</t>
        </is>
      </c>
    </row>
    <row r="116">
      <c r="A116" s="6" t="inlineStr">
        <is>
          <t>A16-05</t>
        </is>
      </c>
      <c r="B116" s="6" t="inlineStr">
        <is>
          <t>answer</t>
        </is>
      </c>
      <c r="C116" s="6" t="inlineStr">
        <is>
          <t>SWEEP-ABS</t>
        </is>
      </c>
      <c r="D116" s="6" t="inlineStr">
        <is>
          <t>met</t>
        </is>
      </c>
      <c r="E116" s="6" t="inlineStr"/>
      <c r="F116" s="6" t="inlineStr">
        <is>
          <t>'everyone'</t>
        </is>
      </c>
    </row>
    <row r="117">
      <c r="A117" s="6" t="inlineStr">
        <is>
          <t>A16-06</t>
        </is>
      </c>
      <c r="B117" s="6" t="inlineStr">
        <is>
          <t>answer</t>
        </is>
      </c>
      <c r="C117" s="6" t="inlineStr">
        <is>
          <t>HEDGED</t>
        </is>
      </c>
      <c r="D117" s="6" t="inlineStr">
        <is>
          <t>not_met</t>
        </is>
      </c>
      <c r="E117" s="6" t="inlineStr"/>
      <c r="F117" s="6" t="inlineStr">
        <is>
          <t>'some', 'can'</t>
        </is>
      </c>
    </row>
    <row r="118">
      <c r="A118" s="6" t="inlineStr">
        <is>
          <t>A16-07</t>
        </is>
      </c>
      <c r="B118" s="6" t="inlineStr">
        <is>
          <t>answer</t>
        </is>
      </c>
      <c r="C118" s="6" t="inlineStr">
        <is>
          <t>NEUTRAL</t>
        </is>
      </c>
      <c r="D118" s="6" t="inlineStr">
        <is>
          <t>not_met</t>
        </is>
      </c>
      <c r="E118" s="6" t="inlineStr"/>
      <c r="F118" s="6" t="inlineStr"/>
    </row>
    <row r="119">
      <c r="A119" s="6" t="inlineStr">
        <is>
          <t>C01-01</t>
        </is>
      </c>
      <c r="B119" s="6" t="inlineStr">
        <is>
          <t>chatgpt</t>
        </is>
      </c>
      <c r="C119" s="6" t="inlineStr">
        <is>
          <t>REAL</t>
        </is>
      </c>
      <c r="D119" s="6" t="n"/>
      <c r="E119" s="6" t="inlineStr"/>
      <c r="F119" s="6" t="inlineStr"/>
    </row>
    <row r="120">
      <c r="A120" s="6" t="inlineStr">
        <is>
          <t>C01-02</t>
        </is>
      </c>
      <c r="B120" s="6" t="inlineStr">
        <is>
          <t>chatgpt</t>
        </is>
      </c>
      <c r="C120" s="6" t="inlineStr">
        <is>
          <t>REAL</t>
        </is>
      </c>
      <c r="D120" s="6" t="n"/>
      <c r="E120" s="6" t="inlineStr"/>
      <c r="F120" s="6" t="inlineStr"/>
    </row>
    <row r="121">
      <c r="A121" s="6" t="inlineStr">
        <is>
          <t>C01-03</t>
        </is>
      </c>
      <c r="B121" s="6" t="inlineStr">
        <is>
          <t>chatgpt</t>
        </is>
      </c>
      <c r="C121" s="6" t="inlineStr">
        <is>
          <t>REAL</t>
        </is>
      </c>
      <c r="D121" s="6" t="n"/>
      <c r="E121" s="6" t="inlineStr"/>
      <c r="F121" s="6" t="inlineStr"/>
    </row>
    <row r="122">
      <c r="A122" s="6" t="inlineStr">
        <is>
          <t>C01-04</t>
        </is>
      </c>
      <c r="B122" s="6" t="inlineStr">
        <is>
          <t>chatgpt</t>
        </is>
      </c>
      <c r="C122" s="6" t="inlineStr">
        <is>
          <t>REAL</t>
        </is>
      </c>
      <c r="D122" s="6" t="n"/>
      <c r="E122" s="6" t="inlineStr"/>
      <c r="F122" s="6" t="inlineStr"/>
    </row>
    <row r="123">
      <c r="A123" s="6" t="inlineStr">
        <is>
          <t>C01-05</t>
        </is>
      </c>
      <c r="B123" s="6" t="inlineStr">
        <is>
          <t>chatgpt</t>
        </is>
      </c>
      <c r="C123" s="6" t="inlineStr">
        <is>
          <t>REAL</t>
        </is>
      </c>
      <c r="D123" s="6" t="n"/>
      <c r="E123" s="6" t="inlineStr"/>
      <c r="F123" s="6" t="inlineStr"/>
    </row>
    <row r="124">
      <c r="A124" s="6" t="inlineStr">
        <is>
          <t>C01-06</t>
        </is>
      </c>
      <c r="B124" s="6" t="inlineStr">
        <is>
          <t>chatgpt</t>
        </is>
      </c>
      <c r="C124" s="6" t="inlineStr">
        <is>
          <t>REAL</t>
        </is>
      </c>
      <c r="D124" s="6" t="n"/>
      <c r="E124" s="6" t="inlineStr"/>
      <c r="F124" s="6" t="inlineStr"/>
    </row>
    <row r="125">
      <c r="A125" s="6" t="inlineStr">
        <is>
          <t>C01-07</t>
        </is>
      </c>
      <c r="B125" s="6" t="inlineStr">
        <is>
          <t>chatgpt</t>
        </is>
      </c>
      <c r="C125" s="6" t="inlineStr">
        <is>
          <t>REAL</t>
        </is>
      </c>
      <c r="D125" s="6" t="n"/>
      <c r="E125" s="6" t="inlineStr"/>
      <c r="F125" s="6" t="inlineStr"/>
    </row>
    <row r="126">
      <c r="A126" s="6" t="inlineStr">
        <is>
          <t>C01-08</t>
        </is>
      </c>
      <c r="B126" s="6" t="inlineStr">
        <is>
          <t>chatgpt</t>
        </is>
      </c>
      <c r="C126" s="6" t="inlineStr">
        <is>
          <t>REAL</t>
        </is>
      </c>
      <c r="D126" s="6" t="n"/>
      <c r="E126" s="6" t="inlineStr"/>
      <c r="F126" s="6" t="inlineStr"/>
    </row>
    <row r="127">
      <c r="A127" s="6" t="inlineStr">
        <is>
          <t>C01-09</t>
        </is>
      </c>
      <c r="B127" s="6" t="inlineStr">
        <is>
          <t>chatgpt</t>
        </is>
      </c>
      <c r="C127" s="6" t="inlineStr">
        <is>
          <t>REAL</t>
        </is>
      </c>
      <c r="D127" s="6" t="n"/>
      <c r="E127" s="6" t="inlineStr"/>
      <c r="F127" s="6" t="inlineStr"/>
    </row>
    <row r="128">
      <c r="A128" s="6" t="inlineStr">
        <is>
          <t>C01-10</t>
        </is>
      </c>
      <c r="B128" s="6" t="inlineStr">
        <is>
          <t>chatgpt</t>
        </is>
      </c>
      <c r="C128" s="6" t="inlineStr">
        <is>
          <t>REAL</t>
        </is>
      </c>
      <c r="D128" s="6" t="n"/>
      <c r="E128" s="6" t="inlineStr"/>
      <c r="F128" s="6" t="inlineStr"/>
    </row>
    <row r="129">
      <c r="A129" s="6" t="inlineStr">
        <is>
          <t>C01-11</t>
        </is>
      </c>
      <c r="B129" s="6" t="inlineStr">
        <is>
          <t>chatgpt</t>
        </is>
      </c>
      <c r="C129" s="6" t="inlineStr">
        <is>
          <t>REAL</t>
        </is>
      </c>
      <c r="D129" s="6" t="n"/>
      <c r="E129" s="6" t="inlineStr"/>
      <c r="F129" s="6" t="inlineStr"/>
    </row>
    <row r="130">
      <c r="A130" s="6" t="inlineStr">
        <is>
          <t>C01-12</t>
        </is>
      </c>
      <c r="B130" s="6" t="inlineStr">
        <is>
          <t>chatgpt</t>
        </is>
      </c>
      <c r="C130" s="6" t="inlineStr">
        <is>
          <t>REAL</t>
        </is>
      </c>
      <c r="D130" s="6" t="n"/>
      <c r="E130" s="6" t="inlineStr"/>
      <c r="F130" s="6" t="inlineStr"/>
    </row>
    <row r="131">
      <c r="A131" s="6" t="inlineStr">
        <is>
          <t>C01-13</t>
        </is>
      </c>
      <c r="B131" s="6" t="inlineStr">
        <is>
          <t>chatgpt</t>
        </is>
      </c>
      <c r="C131" s="6" t="inlineStr">
        <is>
          <t>REAL</t>
        </is>
      </c>
      <c r="D131" s="6" t="n"/>
      <c r="E131" s="6" t="inlineStr"/>
      <c r="F131" s="6" t="inlineStr"/>
    </row>
    <row r="132">
      <c r="A132" s="6" t="inlineStr">
        <is>
          <t>C01-14</t>
        </is>
      </c>
      <c r="B132" s="6" t="inlineStr">
        <is>
          <t>chatgpt</t>
        </is>
      </c>
      <c r="C132" s="6" t="inlineStr">
        <is>
          <t>REAL</t>
        </is>
      </c>
      <c r="D132" s="6" t="n"/>
      <c r="E132" s="6" t="inlineStr"/>
      <c r="F132" s="6" t="inlineStr"/>
    </row>
    <row r="133">
      <c r="A133" s="6" t="inlineStr">
        <is>
          <t>C01-15</t>
        </is>
      </c>
      <c r="B133" s="6" t="inlineStr">
        <is>
          <t>chatgpt</t>
        </is>
      </c>
      <c r="C133" s="6" t="inlineStr">
        <is>
          <t>REAL</t>
        </is>
      </c>
      <c r="D133" s="6" t="n"/>
      <c r="E133" s="6" t="inlineStr"/>
      <c r="F133" s="6" t="inlineStr"/>
    </row>
    <row r="134">
      <c r="A134" s="6" t="inlineStr">
        <is>
          <t>C01-16</t>
        </is>
      </c>
      <c r="B134" s="6" t="inlineStr">
        <is>
          <t>chatgpt</t>
        </is>
      </c>
      <c r="C134" s="6" t="inlineStr">
        <is>
          <t>REAL</t>
        </is>
      </c>
      <c r="D134" s="6" t="n"/>
      <c r="E134" s="6" t="inlineStr"/>
      <c r="F134" s="6" t="inlineStr"/>
    </row>
    <row r="135">
      <c r="A135" s="6" t="inlineStr">
        <is>
          <t>C02-01</t>
        </is>
      </c>
      <c r="B135" s="6" t="inlineStr">
        <is>
          <t>chatgpt</t>
        </is>
      </c>
      <c r="C135" s="6" t="inlineStr">
        <is>
          <t>REAL</t>
        </is>
      </c>
      <c r="D135" s="6" t="n"/>
      <c r="E135" s="6" t="inlineStr"/>
      <c r="F135" s="6" t="inlineStr"/>
    </row>
    <row r="136">
      <c r="A136" s="6" t="inlineStr">
        <is>
          <t>C02-02</t>
        </is>
      </c>
      <c r="B136" s="6" t="inlineStr">
        <is>
          <t>chatgpt</t>
        </is>
      </c>
      <c r="C136" s="6" t="inlineStr">
        <is>
          <t>REAL</t>
        </is>
      </c>
      <c r="D136" s="6" t="n"/>
      <c r="E136" s="6" t="inlineStr"/>
      <c r="F136" s="6" t="inlineStr"/>
    </row>
    <row r="137">
      <c r="A137" s="6" t="inlineStr">
        <is>
          <t>C02-03</t>
        </is>
      </c>
      <c r="B137" s="6" t="inlineStr">
        <is>
          <t>chatgpt</t>
        </is>
      </c>
      <c r="C137" s="6" t="inlineStr">
        <is>
          <t>REAL</t>
        </is>
      </c>
      <c r="D137" s="6" t="n"/>
      <c r="E137" s="6" t="inlineStr"/>
      <c r="F137" s="6" t="inlineStr"/>
    </row>
    <row r="138">
      <c r="A138" s="6" t="inlineStr">
        <is>
          <t>C02-04</t>
        </is>
      </c>
      <c r="B138" s="6" t="inlineStr">
        <is>
          <t>chatgpt</t>
        </is>
      </c>
      <c r="C138" s="6" t="inlineStr">
        <is>
          <t>REAL</t>
        </is>
      </c>
      <c r="D138" s="6" t="n"/>
      <c r="E138" s="6" t="inlineStr"/>
      <c r="F138" s="6" t="inlineStr"/>
    </row>
    <row r="139">
      <c r="A139" s="6" t="inlineStr">
        <is>
          <t>C02-05</t>
        </is>
      </c>
      <c r="B139" s="6" t="inlineStr">
        <is>
          <t>chatgpt</t>
        </is>
      </c>
      <c r="C139" s="6" t="inlineStr">
        <is>
          <t>REAL</t>
        </is>
      </c>
      <c r="D139" s="6" t="n"/>
      <c r="E139" s="6" t="inlineStr"/>
      <c r="F139" s="6" t="inlineStr"/>
    </row>
    <row r="140">
      <c r="A140" s="6" t="inlineStr">
        <is>
          <t>C02-06</t>
        </is>
      </c>
      <c r="B140" s="6" t="inlineStr">
        <is>
          <t>chatgpt</t>
        </is>
      </c>
      <c r="C140" s="6" t="inlineStr">
        <is>
          <t>REAL</t>
        </is>
      </c>
      <c r="D140" s="6" t="n"/>
      <c r="E140" s="6" t="inlineStr"/>
      <c r="F140" s="6" t="inlineStr"/>
    </row>
    <row r="141">
      <c r="A141" s="6" t="inlineStr">
        <is>
          <t>C02-07</t>
        </is>
      </c>
      <c r="B141" s="6" t="inlineStr">
        <is>
          <t>chatgpt</t>
        </is>
      </c>
      <c r="C141" s="6" t="inlineStr">
        <is>
          <t>REAL</t>
        </is>
      </c>
      <c r="D141" s="6" t="n"/>
      <c r="E141" s="6" t="inlineStr"/>
      <c r="F141" s="6" t="inlineStr"/>
    </row>
    <row r="142">
      <c r="A142" s="6" t="inlineStr">
        <is>
          <t>C02-08</t>
        </is>
      </c>
      <c r="B142" s="6" t="inlineStr">
        <is>
          <t>chatgpt</t>
        </is>
      </c>
      <c r="C142" s="6" t="inlineStr">
        <is>
          <t>REAL</t>
        </is>
      </c>
      <c r="D142" s="6" t="n"/>
      <c r="E142" s="6" t="inlineStr"/>
      <c r="F142" s="6" t="inlineStr"/>
    </row>
    <row r="143">
      <c r="A143" s="6" t="inlineStr">
        <is>
          <t>C02-09</t>
        </is>
      </c>
      <c r="B143" s="6" t="inlineStr">
        <is>
          <t>chatgpt</t>
        </is>
      </c>
      <c r="C143" s="6" t="inlineStr">
        <is>
          <t>REAL</t>
        </is>
      </c>
      <c r="D143" s="6" t="n"/>
      <c r="E143" s="6" t="inlineStr"/>
      <c r="F143" s="6" t="inlineStr"/>
    </row>
    <row r="144">
      <c r="A144" s="6" t="inlineStr">
        <is>
          <t>C02-10</t>
        </is>
      </c>
      <c r="B144" s="6" t="inlineStr">
        <is>
          <t>chatgpt</t>
        </is>
      </c>
      <c r="C144" s="6" t="inlineStr">
        <is>
          <t>REAL</t>
        </is>
      </c>
      <c r="D144" s="6" t="n"/>
      <c r="E144" s="6" t="inlineStr"/>
      <c r="F144" s="6" t="inlineStr"/>
    </row>
    <row r="145">
      <c r="A145" s="6" t="inlineStr">
        <is>
          <t>C02-11</t>
        </is>
      </c>
      <c r="B145" s="6" t="inlineStr">
        <is>
          <t>chatgpt</t>
        </is>
      </c>
      <c r="C145" s="6" t="inlineStr">
        <is>
          <t>REAL</t>
        </is>
      </c>
      <c r="D145" s="6" t="n"/>
      <c r="E145" s="6" t="inlineStr"/>
      <c r="F145" s="6" t="inlineStr"/>
    </row>
    <row r="146">
      <c r="A146" s="6" t="inlineStr">
        <is>
          <t>C02-12</t>
        </is>
      </c>
      <c r="B146" s="6" t="inlineStr">
        <is>
          <t>chatgpt</t>
        </is>
      </c>
      <c r="C146" s="6" t="inlineStr">
        <is>
          <t>REAL</t>
        </is>
      </c>
      <c r="D146" s="6" t="n"/>
      <c r="E146" s="6" t="inlineStr"/>
      <c r="F146" s="6" t="inlineStr"/>
    </row>
    <row r="147">
      <c r="A147" s="6" t="inlineStr">
        <is>
          <t>C02-13</t>
        </is>
      </c>
      <c r="B147" s="6" t="inlineStr">
        <is>
          <t>chatgpt</t>
        </is>
      </c>
      <c r="C147" s="6" t="inlineStr">
        <is>
          <t>REAL</t>
        </is>
      </c>
      <c r="D147" s="6" t="n"/>
      <c r="E147" s="6" t="inlineStr"/>
      <c r="F147" s="6" t="inlineStr"/>
    </row>
    <row r="148">
      <c r="A148" s="6" t="inlineStr">
        <is>
          <t>C02-14</t>
        </is>
      </c>
      <c r="B148" s="6" t="inlineStr">
        <is>
          <t>chatgpt</t>
        </is>
      </c>
      <c r="C148" s="6" t="inlineStr">
        <is>
          <t>REAL</t>
        </is>
      </c>
      <c r="D148" s="6" t="n"/>
      <c r="E148" s="6" t="inlineStr"/>
      <c r="F148" s="6" t="inlineStr"/>
    </row>
    <row r="149">
      <c r="A149" s="6" t="inlineStr">
        <is>
          <t>C02-15</t>
        </is>
      </c>
      <c r="B149" s="6" t="inlineStr">
        <is>
          <t>chatgpt</t>
        </is>
      </c>
      <c r="C149" s="6" t="inlineStr">
        <is>
          <t>REAL</t>
        </is>
      </c>
      <c r="D149" s="6" t="n"/>
      <c r="E149" s="6" t="inlineStr"/>
      <c r="F149" s="6" t="inlineStr"/>
    </row>
    <row r="150">
      <c r="A150" s="6" t="inlineStr">
        <is>
          <t>C02-16</t>
        </is>
      </c>
      <c r="B150" s="6" t="inlineStr">
        <is>
          <t>chatgpt</t>
        </is>
      </c>
      <c r="C150" s="6" t="inlineStr">
        <is>
          <t>REAL</t>
        </is>
      </c>
      <c r="D150" s="6" t="n"/>
      <c r="E150" s="6" t="inlineStr"/>
      <c r="F150" s="6" t="inlineStr"/>
    </row>
    <row r="151">
      <c r="A151" s="6" t="inlineStr">
        <is>
          <t>C02-17</t>
        </is>
      </c>
      <c r="B151" s="6" t="inlineStr">
        <is>
          <t>chatgpt</t>
        </is>
      </c>
      <c r="C151" s="6" t="inlineStr">
        <is>
          <t>REAL</t>
        </is>
      </c>
      <c r="D151" s="6" t="n"/>
      <c r="E151" s="6" t="inlineStr"/>
      <c r="F151" s="6" t="inlineStr"/>
    </row>
    <row r="152">
      <c r="A152" s="6" t="inlineStr">
        <is>
          <t>C02-18</t>
        </is>
      </c>
      <c r="B152" s="6" t="inlineStr">
        <is>
          <t>chatgpt</t>
        </is>
      </c>
      <c r="C152" s="6" t="inlineStr">
        <is>
          <t>REAL</t>
        </is>
      </c>
      <c r="D152" s="6" t="n"/>
      <c r="E152" s="6" t="inlineStr"/>
      <c r="F152" s="6" t="inlineStr"/>
    </row>
    <row r="153">
      <c r="A153" s="6" t="inlineStr">
        <is>
          <t>C02-19</t>
        </is>
      </c>
      <c r="B153" s="6" t="inlineStr">
        <is>
          <t>chatgpt</t>
        </is>
      </c>
      <c r="C153" s="6" t="inlineStr">
        <is>
          <t>REAL</t>
        </is>
      </c>
      <c r="D153" s="6" t="n"/>
      <c r="E153" s="6" t="inlineStr"/>
      <c r="F153" s="6" t="inlineStr"/>
    </row>
    <row r="154">
      <c r="A154" s="6" t="inlineStr">
        <is>
          <t>C02-20</t>
        </is>
      </c>
      <c r="B154" s="6" t="inlineStr">
        <is>
          <t>chatgpt</t>
        </is>
      </c>
      <c r="C154" s="6" t="inlineStr">
        <is>
          <t>REAL</t>
        </is>
      </c>
      <c r="D154" s="6" t="n"/>
      <c r="E154" s="6" t="inlineStr"/>
      <c r="F154" s="6" t="inlineStr"/>
    </row>
    <row r="155">
      <c r="A155" s="6" t="inlineStr">
        <is>
          <t>C02-21</t>
        </is>
      </c>
      <c r="B155" s="6" t="inlineStr">
        <is>
          <t>chatgpt</t>
        </is>
      </c>
      <c r="C155" s="6" t="inlineStr">
        <is>
          <t>REAL</t>
        </is>
      </c>
      <c r="D155" s="6" t="n"/>
      <c r="E155" s="6" t="inlineStr"/>
      <c r="F155" s="6" t="inlineStr"/>
    </row>
    <row r="156">
      <c r="A156" s="6" t="inlineStr">
        <is>
          <t>C02-22</t>
        </is>
      </c>
      <c r="B156" s="6" t="inlineStr">
        <is>
          <t>chatgpt</t>
        </is>
      </c>
      <c r="C156" s="6" t="inlineStr">
        <is>
          <t>REAL</t>
        </is>
      </c>
      <c r="D156" s="6" t="n"/>
      <c r="E156" s="6" t="inlineStr"/>
      <c r="F156" s="6" t="inlineStr"/>
    </row>
    <row r="157">
      <c r="A157" s="6" t="inlineStr">
        <is>
          <t>C02-23</t>
        </is>
      </c>
      <c r="B157" s="6" t="inlineStr">
        <is>
          <t>chatgpt</t>
        </is>
      </c>
      <c r="C157" s="6" t="inlineStr">
        <is>
          <t>REAL</t>
        </is>
      </c>
      <c r="D157" s="6" t="n"/>
      <c r="E157" s="6" t="inlineStr"/>
      <c r="F157" s="6" t="inlineStr"/>
    </row>
    <row r="158">
      <c r="A158" s="6" t="inlineStr">
        <is>
          <t>C02-24</t>
        </is>
      </c>
      <c r="B158" s="6" t="inlineStr">
        <is>
          <t>chatgpt</t>
        </is>
      </c>
      <c r="C158" s="6" t="inlineStr">
        <is>
          <t>REAL</t>
        </is>
      </c>
      <c r="D158" s="6" t="n"/>
      <c r="E158" s="6" t="inlineStr"/>
      <c r="F158" s="6" t="inlineStr"/>
    </row>
    <row r="159">
      <c r="A159" s="6" t="inlineStr">
        <is>
          <t>C02-25</t>
        </is>
      </c>
      <c r="B159" s="6" t="inlineStr">
        <is>
          <t>chatgpt</t>
        </is>
      </c>
      <c r="C159" s="6" t="inlineStr">
        <is>
          <t>REAL</t>
        </is>
      </c>
      <c r="D159" s="6" t="n"/>
      <c r="E159" s="6" t="inlineStr"/>
      <c r="F159" s="6" t="inlineStr"/>
    </row>
    <row r="160">
      <c r="A160" s="6" t="inlineStr">
        <is>
          <t>C03-01</t>
        </is>
      </c>
      <c r="B160" s="6" t="inlineStr">
        <is>
          <t>chatgpt</t>
        </is>
      </c>
      <c r="C160" s="6" t="inlineStr">
        <is>
          <t>REAL</t>
        </is>
      </c>
      <c r="D160" s="6" t="n"/>
      <c r="E160" s="6" t="inlineStr"/>
      <c r="F160" s="6" t="inlineStr"/>
    </row>
    <row r="161">
      <c r="A161" s="6" t="inlineStr">
        <is>
          <t>C03-02</t>
        </is>
      </c>
      <c r="B161" s="6" t="inlineStr">
        <is>
          <t>chatgpt</t>
        </is>
      </c>
      <c r="C161" s="6" t="inlineStr">
        <is>
          <t>REAL</t>
        </is>
      </c>
      <c r="D161" s="6" t="n"/>
      <c r="E161" s="6" t="inlineStr"/>
      <c r="F161" s="6" t="inlineStr"/>
    </row>
    <row r="162">
      <c r="A162" s="6" t="inlineStr">
        <is>
          <t>C03-03</t>
        </is>
      </c>
      <c r="B162" s="6" t="inlineStr">
        <is>
          <t>chatgpt</t>
        </is>
      </c>
      <c r="C162" s="6" t="inlineStr">
        <is>
          <t>REAL</t>
        </is>
      </c>
      <c r="D162" s="6" t="n"/>
      <c r="E162" s="6" t="inlineStr"/>
      <c r="F162" s="6" t="inlineStr"/>
    </row>
    <row r="163">
      <c r="A163" s="6" t="inlineStr">
        <is>
          <t>C03-04</t>
        </is>
      </c>
      <c r="B163" s="6" t="inlineStr">
        <is>
          <t>chatgpt</t>
        </is>
      </c>
      <c r="C163" s="6" t="inlineStr">
        <is>
          <t>REAL</t>
        </is>
      </c>
      <c r="D163" s="6" t="n"/>
      <c r="E163" s="6" t="inlineStr"/>
      <c r="F163" s="6" t="inlineStr"/>
    </row>
    <row r="164">
      <c r="A164" s="6" t="inlineStr">
        <is>
          <t>C03-05</t>
        </is>
      </c>
      <c r="B164" s="6" t="inlineStr">
        <is>
          <t>chatgpt</t>
        </is>
      </c>
      <c r="C164" s="6" t="inlineStr">
        <is>
          <t>REAL</t>
        </is>
      </c>
      <c r="D164" s="6" t="n"/>
      <c r="E164" s="6" t="inlineStr"/>
      <c r="F164" s="6" t="inlineStr"/>
    </row>
    <row r="165">
      <c r="A165" s="6" t="inlineStr">
        <is>
          <t>C03-06</t>
        </is>
      </c>
      <c r="B165" s="6" t="inlineStr">
        <is>
          <t>chatgpt</t>
        </is>
      </c>
      <c r="C165" s="6" t="inlineStr">
        <is>
          <t>REAL</t>
        </is>
      </c>
      <c r="D165" s="6" t="n"/>
      <c r="E165" s="6" t="inlineStr"/>
      <c r="F165" s="6" t="inlineStr"/>
    </row>
    <row r="166">
      <c r="A166" s="6" t="inlineStr">
        <is>
          <t>C03-07</t>
        </is>
      </c>
      <c r="B166" s="6" t="inlineStr">
        <is>
          <t>chatgpt</t>
        </is>
      </c>
      <c r="C166" s="6" t="inlineStr">
        <is>
          <t>REAL</t>
        </is>
      </c>
      <c r="D166" s="6" t="n"/>
      <c r="E166" s="6" t="inlineStr"/>
      <c r="F166" s="6" t="inlineStr"/>
    </row>
    <row r="167">
      <c r="A167" s="6" t="inlineStr">
        <is>
          <t>C03-08</t>
        </is>
      </c>
      <c r="B167" s="6" t="inlineStr">
        <is>
          <t>chatgpt</t>
        </is>
      </c>
      <c r="C167" s="6" t="inlineStr">
        <is>
          <t>REAL</t>
        </is>
      </c>
      <c r="D167" s="6" t="n"/>
      <c r="E167" s="6" t="inlineStr"/>
      <c r="F167" s="6" t="inlineStr"/>
    </row>
    <row r="168">
      <c r="A168" s="6" t="inlineStr">
        <is>
          <t>C03-09</t>
        </is>
      </c>
      <c r="B168" s="6" t="inlineStr">
        <is>
          <t>chatgpt</t>
        </is>
      </c>
      <c r="C168" s="6" t="inlineStr">
        <is>
          <t>REAL</t>
        </is>
      </c>
      <c r="D168" s="6" t="n"/>
      <c r="E168" s="6" t="inlineStr"/>
      <c r="F168" s="6" t="inlineStr"/>
    </row>
    <row r="169">
      <c r="A169" s="6" t="inlineStr">
        <is>
          <t>C03-10</t>
        </is>
      </c>
      <c r="B169" s="6" t="inlineStr">
        <is>
          <t>chatgpt</t>
        </is>
      </c>
      <c r="C169" s="6" t="inlineStr">
        <is>
          <t>REAL</t>
        </is>
      </c>
      <c r="D169" s="6" t="n"/>
      <c r="E169" s="6" t="inlineStr"/>
      <c r="F169" s="6" t="inlineStr"/>
    </row>
    <row r="170">
      <c r="A170" s="6" t="inlineStr">
        <is>
          <t>C03-11</t>
        </is>
      </c>
      <c r="B170" s="6" t="inlineStr">
        <is>
          <t>chatgpt</t>
        </is>
      </c>
      <c r="C170" s="6" t="inlineStr">
        <is>
          <t>REAL</t>
        </is>
      </c>
      <c r="D170" s="6" t="n"/>
      <c r="E170" s="6" t="inlineStr"/>
      <c r="F170" s="6" t="inlineStr"/>
    </row>
    <row r="171">
      <c r="A171" s="6" t="inlineStr">
        <is>
          <t>C03-12</t>
        </is>
      </c>
      <c r="B171" s="6" t="inlineStr">
        <is>
          <t>chatgpt</t>
        </is>
      </c>
      <c r="C171" s="6" t="inlineStr">
        <is>
          <t>REAL</t>
        </is>
      </c>
      <c r="D171" s="6" t="n"/>
      <c r="E171" s="6" t="inlineStr"/>
      <c r="F171" s="6" t="inlineStr"/>
    </row>
    <row r="172">
      <c r="A172" s="6" t="inlineStr">
        <is>
          <t>C03-13</t>
        </is>
      </c>
      <c r="B172" s="6" t="inlineStr">
        <is>
          <t>chatgpt</t>
        </is>
      </c>
      <c r="C172" s="6" t="inlineStr">
        <is>
          <t>REAL</t>
        </is>
      </c>
      <c r="D172" s="6" t="n"/>
      <c r="E172" s="6" t="inlineStr"/>
      <c r="F172" s="6" t="inlineStr"/>
    </row>
    <row r="173">
      <c r="A173" s="6" t="inlineStr">
        <is>
          <t>C03-14</t>
        </is>
      </c>
      <c r="B173" s="6" t="inlineStr">
        <is>
          <t>chatgpt</t>
        </is>
      </c>
      <c r="C173" s="6" t="inlineStr">
        <is>
          <t>REAL</t>
        </is>
      </c>
      <c r="D173" s="6" t="n"/>
      <c r="E173" s="6" t="inlineStr"/>
      <c r="F173" s="6" t="inlineStr"/>
    </row>
    <row r="174">
      <c r="A174" s="6" t="inlineStr">
        <is>
          <t>C03-15</t>
        </is>
      </c>
      <c r="B174" s="6" t="inlineStr">
        <is>
          <t>chatgpt</t>
        </is>
      </c>
      <c r="C174" s="6" t="inlineStr">
        <is>
          <t>REAL</t>
        </is>
      </c>
      <c r="D174" s="6" t="n"/>
      <c r="E174" s="6" t="inlineStr"/>
      <c r="F174" s="6" t="inlineStr"/>
    </row>
    <row r="175">
      <c r="A175" s="6" t="inlineStr">
        <is>
          <t>C03-16</t>
        </is>
      </c>
      <c r="B175" s="6" t="inlineStr">
        <is>
          <t>chatgpt</t>
        </is>
      </c>
      <c r="C175" s="6" t="inlineStr">
        <is>
          <t>REAL</t>
        </is>
      </c>
      <c r="D175" s="6" t="n"/>
      <c r="E175" s="6" t="inlineStr"/>
      <c r="F175" s="6" t="inlineStr"/>
    </row>
    <row r="176">
      <c r="A176" s="6" t="inlineStr">
        <is>
          <t>C03-17</t>
        </is>
      </c>
      <c r="B176" s="6" t="inlineStr">
        <is>
          <t>chatgpt</t>
        </is>
      </c>
      <c r="C176" s="6" t="inlineStr">
        <is>
          <t>REAL</t>
        </is>
      </c>
      <c r="D176" s="6" t="n"/>
      <c r="E176" s="6" t="inlineStr"/>
      <c r="F176" s="6" t="inlineStr"/>
    </row>
    <row r="177">
      <c r="A177" s="6" t="inlineStr">
        <is>
          <t>C03-18</t>
        </is>
      </c>
      <c r="B177" s="6" t="inlineStr">
        <is>
          <t>chatgpt</t>
        </is>
      </c>
      <c r="C177" s="6" t="inlineStr">
        <is>
          <t>REAL</t>
        </is>
      </c>
      <c r="D177" s="6" t="n"/>
      <c r="E177" s="6" t="inlineStr"/>
      <c r="F177" s="6" t="inlineStr"/>
    </row>
    <row r="178">
      <c r="A178" s="6" t="inlineStr">
        <is>
          <t>C03-19</t>
        </is>
      </c>
      <c r="B178" s="6" t="inlineStr">
        <is>
          <t>chatgpt</t>
        </is>
      </c>
      <c r="C178" s="6" t="inlineStr">
        <is>
          <t>REAL</t>
        </is>
      </c>
      <c r="D178" s="6" t="n"/>
      <c r="E178" s="6" t="inlineStr"/>
      <c r="F178" s="6" t="inlineStr"/>
    </row>
    <row r="179">
      <c r="A179" s="6" t="inlineStr">
        <is>
          <t>C03-20</t>
        </is>
      </c>
      <c r="B179" s="6" t="inlineStr">
        <is>
          <t>chatgpt</t>
        </is>
      </c>
      <c r="C179" s="6" t="inlineStr">
        <is>
          <t>REAL</t>
        </is>
      </c>
      <c r="D179" s="6" t="n"/>
      <c r="E179" s="6" t="inlineStr"/>
      <c r="F179" s="6" t="inlineStr"/>
    </row>
    <row r="180">
      <c r="A180" s="6" t="inlineStr">
        <is>
          <t>C03-21</t>
        </is>
      </c>
      <c r="B180" s="6" t="inlineStr">
        <is>
          <t>chatgpt</t>
        </is>
      </c>
      <c r="C180" s="6" t="inlineStr">
        <is>
          <t>REAL</t>
        </is>
      </c>
      <c r="D180" s="6" t="n"/>
      <c r="E180" s="6" t="inlineStr"/>
      <c r="F180" s="6" t="inlineStr"/>
    </row>
    <row r="181">
      <c r="A181" s="6" t="inlineStr">
        <is>
          <t>C03-22</t>
        </is>
      </c>
      <c r="B181" s="6" t="inlineStr">
        <is>
          <t>chatgpt</t>
        </is>
      </c>
      <c r="C181" s="6" t="inlineStr">
        <is>
          <t>REAL</t>
        </is>
      </c>
      <c r="D181" s="6" t="n"/>
      <c r="E181" s="6" t="inlineStr"/>
      <c r="F181" s="6" t="inlineStr"/>
    </row>
    <row r="182">
      <c r="A182" s="6" t="inlineStr">
        <is>
          <t>C03-23</t>
        </is>
      </c>
      <c r="B182" s="6" t="inlineStr">
        <is>
          <t>chatgpt</t>
        </is>
      </c>
      <c r="C182" s="6" t="inlineStr">
        <is>
          <t>REAL</t>
        </is>
      </c>
      <c r="D182" s="6" t="n"/>
      <c r="E182" s="6" t="inlineStr"/>
      <c r="F182" s="6" t="inlineStr"/>
    </row>
    <row r="183">
      <c r="A183" s="6" t="inlineStr">
        <is>
          <t>C03-24</t>
        </is>
      </c>
      <c r="B183" s="6" t="inlineStr">
        <is>
          <t>chatgpt</t>
        </is>
      </c>
      <c r="C183" s="6" t="inlineStr">
        <is>
          <t>REAL</t>
        </is>
      </c>
      <c r="D183" s="6" t="n"/>
      <c r="E183" s="6" t="inlineStr"/>
      <c r="F183" s="6" t="inlineStr"/>
    </row>
    <row r="184">
      <c r="A184" s="6" t="inlineStr">
        <is>
          <t>C03-25</t>
        </is>
      </c>
      <c r="B184" s="6" t="inlineStr">
        <is>
          <t>chatgpt</t>
        </is>
      </c>
      <c r="C184" s="6" t="inlineStr">
        <is>
          <t>REAL</t>
        </is>
      </c>
      <c r="D184" s="6" t="n"/>
      <c r="E184" s="6" t="inlineStr"/>
      <c r="F184" s="6" t="inlineStr"/>
    </row>
    <row r="185">
      <c r="A185" s="6" t="inlineStr">
        <is>
          <t>C03-26</t>
        </is>
      </c>
      <c r="B185" s="6" t="inlineStr">
        <is>
          <t>chatgpt</t>
        </is>
      </c>
      <c r="C185" s="6" t="inlineStr">
        <is>
          <t>REAL</t>
        </is>
      </c>
      <c r="D185" s="6" t="n"/>
      <c r="E185" s="6" t="inlineStr"/>
      <c r="F185" s="6" t="inlineStr"/>
    </row>
    <row r="186">
      <c r="A186" s="6" t="inlineStr">
        <is>
          <t>C03-27</t>
        </is>
      </c>
      <c r="B186" s="6" t="inlineStr">
        <is>
          <t>chatgpt</t>
        </is>
      </c>
      <c r="C186" s="6" t="inlineStr">
        <is>
          <t>REAL</t>
        </is>
      </c>
      <c r="D186" s="6" t="n"/>
      <c r="E186" s="6" t="inlineStr"/>
      <c r="F186" s="6" t="inlineStr"/>
    </row>
    <row r="187">
      <c r="A187" s="6" t="inlineStr">
        <is>
          <t>C03-28</t>
        </is>
      </c>
      <c r="B187" s="6" t="inlineStr">
        <is>
          <t>chatgpt</t>
        </is>
      </c>
      <c r="C187" s="6" t="inlineStr">
        <is>
          <t>REAL</t>
        </is>
      </c>
      <c r="D187" s="6" t="n"/>
      <c r="E187" s="6" t="inlineStr"/>
      <c r="F187" s="6" t="inlineStr"/>
    </row>
    <row r="188">
      <c r="A188" s="6" t="inlineStr">
        <is>
          <t>C03-29</t>
        </is>
      </c>
      <c r="B188" s="6" t="inlineStr">
        <is>
          <t>chatgpt</t>
        </is>
      </c>
      <c r="C188" s="6" t="inlineStr">
        <is>
          <t>REAL</t>
        </is>
      </c>
      <c r="D188" s="6" t="n"/>
      <c r="E188" s="6" t="inlineStr"/>
      <c r="F188" s="6" t="inlineStr"/>
    </row>
    <row r="189">
      <c r="A189" s="6" t="inlineStr">
        <is>
          <t>C04-01</t>
        </is>
      </c>
      <c r="B189" s="6" t="inlineStr">
        <is>
          <t>chatgpt</t>
        </is>
      </c>
      <c r="C189" s="6" t="inlineStr">
        <is>
          <t>REAL</t>
        </is>
      </c>
      <c r="D189" s="6" t="n"/>
      <c r="E189" s="6" t="inlineStr"/>
      <c r="F189" s="6" t="inlineStr"/>
    </row>
    <row r="190">
      <c r="A190" s="6" t="inlineStr">
        <is>
          <t>C04-02</t>
        </is>
      </c>
      <c r="B190" s="6" t="inlineStr">
        <is>
          <t>chatgpt</t>
        </is>
      </c>
      <c r="C190" s="6" t="inlineStr">
        <is>
          <t>REAL</t>
        </is>
      </c>
      <c r="D190" s="6" t="n"/>
      <c r="E190" s="6" t="inlineStr"/>
      <c r="F190" s="6" t="inlineStr"/>
    </row>
    <row r="191">
      <c r="A191" s="6" t="inlineStr">
        <is>
          <t>C04-03</t>
        </is>
      </c>
      <c r="B191" s="6" t="inlineStr">
        <is>
          <t>chatgpt</t>
        </is>
      </c>
      <c r="C191" s="6" t="inlineStr">
        <is>
          <t>REAL</t>
        </is>
      </c>
      <c r="D191" s="6" t="n"/>
      <c r="E191" s="6" t="inlineStr"/>
      <c r="F191" s="6" t="inlineStr"/>
    </row>
    <row r="192">
      <c r="A192" s="6" t="inlineStr">
        <is>
          <t>C04-04</t>
        </is>
      </c>
      <c r="B192" s="6" t="inlineStr">
        <is>
          <t>chatgpt</t>
        </is>
      </c>
      <c r="C192" s="6" t="inlineStr">
        <is>
          <t>REAL</t>
        </is>
      </c>
      <c r="D192" s="6" t="n"/>
      <c r="E192" s="6" t="inlineStr"/>
      <c r="F192" s="6" t="inlineStr"/>
    </row>
    <row r="193">
      <c r="A193" s="6" t="inlineStr">
        <is>
          <t>C04-05</t>
        </is>
      </c>
      <c r="B193" s="6" t="inlineStr">
        <is>
          <t>chatgpt</t>
        </is>
      </c>
      <c r="C193" s="6" t="inlineStr">
        <is>
          <t>REAL</t>
        </is>
      </c>
      <c r="D193" s="6" t="n"/>
      <c r="E193" s="6" t="inlineStr"/>
      <c r="F193" s="6" t="inlineStr"/>
    </row>
    <row r="194">
      <c r="A194" s="6" t="inlineStr">
        <is>
          <t>C04-06</t>
        </is>
      </c>
      <c r="B194" s="6" t="inlineStr">
        <is>
          <t>chatgpt</t>
        </is>
      </c>
      <c r="C194" s="6" t="inlineStr">
        <is>
          <t>REAL</t>
        </is>
      </c>
      <c r="D194" s="6" t="n"/>
      <c r="E194" s="6" t="inlineStr"/>
      <c r="F194" s="6" t="inlineStr"/>
    </row>
    <row r="195">
      <c r="A195" s="6" t="inlineStr">
        <is>
          <t>C04-07</t>
        </is>
      </c>
      <c r="B195" s="6" t="inlineStr">
        <is>
          <t>chatgpt</t>
        </is>
      </c>
      <c r="C195" s="6" t="inlineStr">
        <is>
          <t>REAL</t>
        </is>
      </c>
      <c r="D195" s="6" t="n"/>
      <c r="E195" s="6" t="inlineStr"/>
      <c r="F195" s="6" t="inlineStr"/>
    </row>
    <row r="196">
      <c r="A196" s="6" t="inlineStr">
        <is>
          <t>C04-08</t>
        </is>
      </c>
      <c r="B196" s="6" t="inlineStr">
        <is>
          <t>chatgpt</t>
        </is>
      </c>
      <c r="C196" s="6" t="inlineStr">
        <is>
          <t>REAL</t>
        </is>
      </c>
      <c r="D196" s="6" t="n"/>
      <c r="E196" s="6" t="inlineStr"/>
      <c r="F196" s="6" t="inlineStr"/>
    </row>
    <row r="197">
      <c r="A197" s="6" t="inlineStr">
        <is>
          <t>C04-09</t>
        </is>
      </c>
      <c r="B197" s="6" t="inlineStr">
        <is>
          <t>chatgpt</t>
        </is>
      </c>
      <c r="C197" s="6" t="inlineStr">
        <is>
          <t>REAL</t>
        </is>
      </c>
      <c r="D197" s="6" t="n"/>
      <c r="E197" s="6" t="inlineStr"/>
      <c r="F197" s="6" t="inlineStr"/>
    </row>
    <row r="198">
      <c r="A198" s="6" t="inlineStr">
        <is>
          <t>C04-10</t>
        </is>
      </c>
      <c r="B198" s="6" t="inlineStr">
        <is>
          <t>chatgpt</t>
        </is>
      </c>
      <c r="C198" s="6" t="inlineStr">
        <is>
          <t>REAL</t>
        </is>
      </c>
      <c r="D198" s="6" t="n"/>
      <c r="E198" s="6" t="inlineStr"/>
      <c r="F198" s="6" t="inlineStr"/>
    </row>
    <row r="199">
      <c r="A199" s="6" t="inlineStr">
        <is>
          <t>C04-11</t>
        </is>
      </c>
      <c r="B199" s="6" t="inlineStr">
        <is>
          <t>chatgpt</t>
        </is>
      </c>
      <c r="C199" s="6" t="inlineStr">
        <is>
          <t>REAL</t>
        </is>
      </c>
      <c r="D199" s="6" t="n"/>
      <c r="E199" s="6" t="inlineStr"/>
      <c r="F199" s="6" t="inlineStr"/>
    </row>
    <row r="200">
      <c r="A200" s="6" t="inlineStr">
        <is>
          <t>C04-12</t>
        </is>
      </c>
      <c r="B200" s="6" t="inlineStr">
        <is>
          <t>chatgpt</t>
        </is>
      </c>
      <c r="C200" s="6" t="inlineStr">
        <is>
          <t>REAL</t>
        </is>
      </c>
      <c r="D200" s="6" t="n"/>
      <c r="E200" s="6" t="inlineStr"/>
      <c r="F200" s="6" t="inlineStr"/>
    </row>
    <row r="201">
      <c r="A201" s="6" t="inlineStr">
        <is>
          <t>C04-13</t>
        </is>
      </c>
      <c r="B201" s="6" t="inlineStr">
        <is>
          <t>chatgpt</t>
        </is>
      </c>
      <c r="C201" s="6" t="inlineStr">
        <is>
          <t>REAL</t>
        </is>
      </c>
      <c r="D201" s="6" t="n"/>
      <c r="E201" s="6" t="inlineStr"/>
      <c r="F201" s="6" t="inlineStr"/>
    </row>
    <row r="202">
      <c r="A202" s="6" t="inlineStr">
        <is>
          <t>C04-14</t>
        </is>
      </c>
      <c r="B202" s="6" t="inlineStr">
        <is>
          <t>chatgpt</t>
        </is>
      </c>
      <c r="C202" s="6" t="inlineStr">
        <is>
          <t>REAL</t>
        </is>
      </c>
      <c r="D202" s="6" t="n"/>
      <c r="E202" s="6" t="inlineStr"/>
      <c r="F202" s="6" t="inlineStr"/>
    </row>
    <row r="203">
      <c r="A203" s="6" t="inlineStr">
        <is>
          <t>C04-15</t>
        </is>
      </c>
      <c r="B203" s="6" t="inlineStr">
        <is>
          <t>chatgpt</t>
        </is>
      </c>
      <c r="C203" s="6" t="inlineStr">
        <is>
          <t>REAL</t>
        </is>
      </c>
      <c r="D203" s="6" t="n"/>
      <c r="E203" s="6" t="inlineStr"/>
      <c r="F203" s="6" t="inlineStr"/>
    </row>
    <row r="204">
      <c r="A204" s="6" t="inlineStr">
        <is>
          <t>C04-16</t>
        </is>
      </c>
      <c r="B204" s="6" t="inlineStr">
        <is>
          <t>chatgpt</t>
        </is>
      </c>
      <c r="C204" s="6" t="inlineStr">
        <is>
          <t>REAL</t>
        </is>
      </c>
      <c r="D204" s="6" t="n"/>
      <c r="E204" s="6" t="inlineStr"/>
      <c r="F204" s="6" t="inlineStr"/>
    </row>
    <row r="205">
      <c r="A205" s="6" t="inlineStr">
        <is>
          <t>C04-17</t>
        </is>
      </c>
      <c r="B205" s="6" t="inlineStr">
        <is>
          <t>chatgpt</t>
        </is>
      </c>
      <c r="C205" s="6" t="inlineStr">
        <is>
          <t>REAL</t>
        </is>
      </c>
      <c r="D205" s="6" t="n"/>
      <c r="E205" s="6" t="inlineStr"/>
      <c r="F205" s="6" t="inlineStr"/>
    </row>
    <row r="206">
      <c r="A206" s="6" t="inlineStr">
        <is>
          <t>C04-18</t>
        </is>
      </c>
      <c r="B206" s="6" t="inlineStr">
        <is>
          <t>chatgpt</t>
        </is>
      </c>
      <c r="C206" s="6" t="inlineStr">
        <is>
          <t>REAL</t>
        </is>
      </c>
      <c r="D206" s="6" t="n"/>
      <c r="E206" s="6" t="inlineStr"/>
      <c r="F206" s="6" t="inlineStr"/>
    </row>
    <row r="207">
      <c r="A207" s="6" t="inlineStr">
        <is>
          <t>C04-19</t>
        </is>
      </c>
      <c r="B207" s="6" t="inlineStr">
        <is>
          <t>chatgpt</t>
        </is>
      </c>
      <c r="C207" s="6" t="inlineStr">
        <is>
          <t>REAL</t>
        </is>
      </c>
      <c r="D207" s="6" t="n"/>
      <c r="E207" s="6" t="inlineStr"/>
      <c r="F207" s="6" t="inlineStr"/>
    </row>
    <row r="208">
      <c r="A208" s="6" t="inlineStr">
        <is>
          <t>C04-20</t>
        </is>
      </c>
      <c r="B208" s="6" t="inlineStr">
        <is>
          <t>chatgpt</t>
        </is>
      </c>
      <c r="C208" s="6" t="inlineStr">
        <is>
          <t>REAL</t>
        </is>
      </c>
      <c r="D208" s="6" t="n"/>
      <c r="E208" s="6" t="inlineStr"/>
      <c r="F208" s="6" t="inlineStr"/>
    </row>
    <row r="209">
      <c r="A209" s="6" t="inlineStr">
        <is>
          <t>C04-21</t>
        </is>
      </c>
      <c r="B209" s="6" t="inlineStr">
        <is>
          <t>chatgpt</t>
        </is>
      </c>
      <c r="C209" s="6" t="inlineStr">
        <is>
          <t>REAL</t>
        </is>
      </c>
      <c r="D209" s="6" t="n"/>
      <c r="E209" s="6" t="inlineStr"/>
      <c r="F209" s="6" t="inlineStr"/>
    </row>
    <row r="210">
      <c r="A210" s="6" t="inlineStr">
        <is>
          <t>C04-22</t>
        </is>
      </c>
      <c r="B210" s="6" t="inlineStr">
        <is>
          <t>chatgpt</t>
        </is>
      </c>
      <c r="C210" s="6" t="inlineStr">
        <is>
          <t>REAL</t>
        </is>
      </c>
      <c r="D210" s="6" t="n"/>
      <c r="E210" s="6" t="inlineStr"/>
      <c r="F210" s="6" t="inlineStr"/>
    </row>
    <row r="211">
      <c r="A211" s="6" t="inlineStr">
        <is>
          <t>C05-01</t>
        </is>
      </c>
      <c r="B211" s="6" t="inlineStr">
        <is>
          <t>chatgpt</t>
        </is>
      </c>
      <c r="C211" s="6" t="inlineStr">
        <is>
          <t>REAL</t>
        </is>
      </c>
      <c r="D211" s="6" t="n"/>
      <c r="E211" s="6" t="inlineStr"/>
      <c r="F211" s="6" t="inlineStr"/>
    </row>
    <row r="212">
      <c r="A212" s="6" t="inlineStr">
        <is>
          <t>C05-02</t>
        </is>
      </c>
      <c r="B212" s="6" t="inlineStr">
        <is>
          <t>chatgpt</t>
        </is>
      </c>
      <c r="C212" s="6" t="inlineStr">
        <is>
          <t>REAL</t>
        </is>
      </c>
      <c r="D212" s="6" t="n"/>
      <c r="E212" s="6" t="inlineStr"/>
      <c r="F212" s="6" t="inlineStr"/>
    </row>
    <row r="213">
      <c r="A213" s="6" t="inlineStr">
        <is>
          <t>C05-03</t>
        </is>
      </c>
      <c r="B213" s="6" t="inlineStr">
        <is>
          <t>chatgpt</t>
        </is>
      </c>
      <c r="C213" s="6" t="inlineStr">
        <is>
          <t>REAL</t>
        </is>
      </c>
      <c r="D213" s="6" t="n"/>
      <c r="E213" s="6" t="inlineStr"/>
      <c r="F213" s="6" t="inlineStr"/>
    </row>
    <row r="214">
      <c r="A214" s="6" t="inlineStr">
        <is>
          <t>C05-04</t>
        </is>
      </c>
      <c r="B214" s="6" t="inlineStr">
        <is>
          <t>chatgpt</t>
        </is>
      </c>
      <c r="C214" s="6" t="inlineStr">
        <is>
          <t>REAL</t>
        </is>
      </c>
      <c r="D214" s="6" t="n"/>
      <c r="E214" s="6" t="inlineStr"/>
      <c r="F214" s="6" t="inlineStr"/>
    </row>
    <row r="215">
      <c r="A215" s="6" t="inlineStr">
        <is>
          <t>C05-05</t>
        </is>
      </c>
      <c r="B215" s="6" t="inlineStr">
        <is>
          <t>chatgpt</t>
        </is>
      </c>
      <c r="C215" s="6" t="inlineStr">
        <is>
          <t>REAL</t>
        </is>
      </c>
      <c r="D215" s="6" t="n"/>
      <c r="E215" s="6" t="inlineStr"/>
      <c r="F215" s="6" t="inlineStr"/>
    </row>
    <row r="216">
      <c r="A216" s="6" t="inlineStr">
        <is>
          <t>C05-06</t>
        </is>
      </c>
      <c r="B216" s="6" t="inlineStr">
        <is>
          <t>chatgpt</t>
        </is>
      </c>
      <c r="C216" s="6" t="inlineStr">
        <is>
          <t>REAL</t>
        </is>
      </c>
      <c r="D216" s="6" t="n"/>
      <c r="E216" s="6" t="inlineStr"/>
      <c r="F216" s="6" t="inlineStr"/>
    </row>
    <row r="217">
      <c r="A217" s="6" t="inlineStr">
        <is>
          <t>C05-07</t>
        </is>
      </c>
      <c r="B217" s="6" t="inlineStr">
        <is>
          <t>chatgpt</t>
        </is>
      </c>
      <c r="C217" s="6" t="inlineStr">
        <is>
          <t>REAL</t>
        </is>
      </c>
      <c r="D217" s="6" t="n"/>
      <c r="E217" s="6" t="inlineStr"/>
      <c r="F217" s="6" t="inlineStr"/>
    </row>
    <row r="218">
      <c r="A218" s="6" t="inlineStr">
        <is>
          <t>C05-08</t>
        </is>
      </c>
      <c r="B218" s="6" t="inlineStr">
        <is>
          <t>chatgpt</t>
        </is>
      </c>
      <c r="C218" s="6" t="inlineStr">
        <is>
          <t>REAL</t>
        </is>
      </c>
      <c r="D218" s="6" t="n"/>
      <c r="E218" s="6" t="inlineStr"/>
      <c r="F218" s="6" t="inlineStr"/>
    </row>
    <row r="219">
      <c r="A219" s="6" t="inlineStr">
        <is>
          <t>C05-09</t>
        </is>
      </c>
      <c r="B219" s="6" t="inlineStr">
        <is>
          <t>chatgpt</t>
        </is>
      </c>
      <c r="C219" s="6" t="inlineStr">
        <is>
          <t>REAL</t>
        </is>
      </c>
      <c r="D219" s="6" t="n"/>
      <c r="E219" s="6" t="inlineStr"/>
      <c r="F219" s="6" t="inlineStr"/>
    </row>
    <row r="220">
      <c r="A220" s="6" t="inlineStr">
        <is>
          <t>C05-10</t>
        </is>
      </c>
      <c r="B220" s="6" t="inlineStr">
        <is>
          <t>chatgpt</t>
        </is>
      </c>
      <c r="C220" s="6" t="inlineStr">
        <is>
          <t>REAL</t>
        </is>
      </c>
      <c r="D220" s="6" t="n"/>
      <c r="E220" s="6" t="inlineStr"/>
      <c r="F220" s="6" t="inlineStr"/>
    </row>
    <row r="221">
      <c r="A221" s="6" t="inlineStr">
        <is>
          <t>C05-11</t>
        </is>
      </c>
      <c r="B221" s="6" t="inlineStr">
        <is>
          <t>chatgpt</t>
        </is>
      </c>
      <c r="C221" s="6" t="inlineStr">
        <is>
          <t>REAL</t>
        </is>
      </c>
      <c r="D221" s="6" t="n"/>
      <c r="E221" s="6" t="inlineStr"/>
      <c r="F221" s="6" t="inlineStr"/>
    </row>
    <row r="222">
      <c r="A222" s="6" t="inlineStr">
        <is>
          <t>C05-12</t>
        </is>
      </c>
      <c r="B222" s="6" t="inlineStr">
        <is>
          <t>chatgpt</t>
        </is>
      </c>
      <c r="C222" s="6" t="inlineStr">
        <is>
          <t>REAL</t>
        </is>
      </c>
      <c r="D222" s="6" t="n"/>
      <c r="E222" s="6" t="inlineStr"/>
      <c r="F222" s="6" t="inlineStr"/>
    </row>
    <row r="223">
      <c r="A223" s="6" t="inlineStr">
        <is>
          <t>C05-13</t>
        </is>
      </c>
      <c r="B223" s="6" t="inlineStr">
        <is>
          <t>chatgpt</t>
        </is>
      </c>
      <c r="C223" s="6" t="inlineStr">
        <is>
          <t>REAL</t>
        </is>
      </c>
      <c r="D223" s="6" t="n"/>
      <c r="E223" s="6" t="inlineStr"/>
      <c r="F223" s="6" t="inlineStr"/>
    </row>
    <row r="224">
      <c r="A224" s="6" t="inlineStr">
        <is>
          <t>C05-14</t>
        </is>
      </c>
      <c r="B224" s="6" t="inlineStr">
        <is>
          <t>chatgpt</t>
        </is>
      </c>
      <c r="C224" s="6" t="inlineStr">
        <is>
          <t>REAL</t>
        </is>
      </c>
      <c r="D224" s="6" t="n"/>
      <c r="E224" s="6" t="inlineStr"/>
      <c r="F224" s="6" t="inlineStr"/>
    </row>
    <row r="225">
      <c r="A225" s="6" t="inlineStr">
        <is>
          <t>C05-15</t>
        </is>
      </c>
      <c r="B225" s="6" t="inlineStr">
        <is>
          <t>chatgpt</t>
        </is>
      </c>
      <c r="C225" s="6" t="inlineStr">
        <is>
          <t>REAL</t>
        </is>
      </c>
      <c r="D225" s="6" t="n"/>
      <c r="E225" s="6" t="inlineStr"/>
      <c r="F225" s="6" t="inlineStr"/>
    </row>
    <row r="226">
      <c r="A226" s="6" t="inlineStr">
        <is>
          <t>C05-16</t>
        </is>
      </c>
      <c r="B226" s="6" t="inlineStr">
        <is>
          <t>chatgpt</t>
        </is>
      </c>
      <c r="C226" s="6" t="inlineStr">
        <is>
          <t>REAL</t>
        </is>
      </c>
      <c r="D226" s="6" t="n"/>
      <c r="E226" s="6" t="inlineStr"/>
      <c r="F226" s="6" t="inlineStr"/>
    </row>
    <row r="227">
      <c r="A227" s="6" t="inlineStr">
        <is>
          <t>C05-17</t>
        </is>
      </c>
      <c r="B227" s="6" t="inlineStr">
        <is>
          <t>chatgpt</t>
        </is>
      </c>
      <c r="C227" s="6" t="inlineStr">
        <is>
          <t>REAL</t>
        </is>
      </c>
      <c r="D227" s="6" t="n"/>
      <c r="E227" s="6" t="inlineStr"/>
      <c r="F227" s="6" t="inlineStr"/>
    </row>
    <row r="228">
      <c r="A228" s="6" t="inlineStr">
        <is>
          <t>C05-18</t>
        </is>
      </c>
      <c r="B228" s="6" t="inlineStr">
        <is>
          <t>chatgpt</t>
        </is>
      </c>
      <c r="C228" s="6" t="inlineStr">
        <is>
          <t>REAL</t>
        </is>
      </c>
      <c r="D228" s="6" t="n"/>
      <c r="E228" s="6" t="inlineStr"/>
      <c r="F228" s="6" t="inlineStr"/>
    </row>
    <row r="229">
      <c r="A229" s="6" t="inlineStr">
        <is>
          <t>C05-19</t>
        </is>
      </c>
      <c r="B229" s="6" t="inlineStr">
        <is>
          <t>chatgpt</t>
        </is>
      </c>
      <c r="C229" s="6" t="inlineStr">
        <is>
          <t>REAL</t>
        </is>
      </c>
      <c r="D229" s="6" t="n"/>
      <c r="E229" s="6" t="inlineStr"/>
      <c r="F229" s="6" t="inlineStr"/>
    </row>
    <row r="230">
      <c r="A230" s="6" t="inlineStr">
        <is>
          <t>C06-01</t>
        </is>
      </c>
      <c r="B230" s="6" t="inlineStr">
        <is>
          <t>chatgpt</t>
        </is>
      </c>
      <c r="C230" s="6" t="inlineStr">
        <is>
          <t>REAL</t>
        </is>
      </c>
      <c r="D230" s="6" t="n"/>
      <c r="E230" s="6" t="inlineStr"/>
      <c r="F230" s="6" t="inlineStr"/>
    </row>
    <row r="231">
      <c r="A231" s="6" t="inlineStr">
        <is>
          <t>C06-02</t>
        </is>
      </c>
      <c r="B231" s="6" t="inlineStr">
        <is>
          <t>chatgpt</t>
        </is>
      </c>
      <c r="C231" s="6" t="inlineStr">
        <is>
          <t>REAL</t>
        </is>
      </c>
      <c r="D231" s="6" t="n"/>
      <c r="E231" s="6" t="inlineStr"/>
      <c r="F231" s="6" t="inlineStr"/>
    </row>
    <row r="232">
      <c r="A232" s="6" t="inlineStr">
        <is>
          <t>C06-03</t>
        </is>
      </c>
      <c r="B232" s="6" t="inlineStr">
        <is>
          <t>chatgpt</t>
        </is>
      </c>
      <c r="C232" s="6" t="inlineStr">
        <is>
          <t>REAL</t>
        </is>
      </c>
      <c r="D232" s="6" t="n"/>
      <c r="E232" s="6" t="inlineStr"/>
      <c r="F232" s="6" t="inlineStr"/>
    </row>
    <row r="233">
      <c r="A233" s="6" t="inlineStr">
        <is>
          <t>C06-04</t>
        </is>
      </c>
      <c r="B233" s="6" t="inlineStr">
        <is>
          <t>chatgpt</t>
        </is>
      </c>
      <c r="C233" s="6" t="inlineStr">
        <is>
          <t>REAL</t>
        </is>
      </c>
      <c r="D233" s="6" t="n"/>
      <c r="E233" s="6" t="inlineStr"/>
      <c r="F233" s="6" t="inlineStr"/>
    </row>
    <row r="234">
      <c r="A234" s="6" t="inlineStr">
        <is>
          <t>C06-05</t>
        </is>
      </c>
      <c r="B234" s="6" t="inlineStr">
        <is>
          <t>chatgpt</t>
        </is>
      </c>
      <c r="C234" s="6" t="inlineStr">
        <is>
          <t>REAL</t>
        </is>
      </c>
      <c r="D234" s="6" t="n"/>
      <c r="E234" s="6" t="inlineStr"/>
      <c r="F234" s="6" t="inlineStr"/>
    </row>
    <row r="235">
      <c r="A235" s="6" t="inlineStr">
        <is>
          <t>C06-06</t>
        </is>
      </c>
      <c r="B235" s="6" t="inlineStr">
        <is>
          <t>chatgpt</t>
        </is>
      </c>
      <c r="C235" s="6" t="inlineStr">
        <is>
          <t>REAL</t>
        </is>
      </c>
      <c r="D235" s="6" t="n"/>
      <c r="E235" s="6" t="inlineStr"/>
      <c r="F235" s="6" t="inlineStr"/>
    </row>
    <row r="236">
      <c r="A236" s="6" t="inlineStr">
        <is>
          <t>C06-07</t>
        </is>
      </c>
      <c r="B236" s="6" t="inlineStr">
        <is>
          <t>chatgpt</t>
        </is>
      </c>
      <c r="C236" s="6" t="inlineStr">
        <is>
          <t>REAL</t>
        </is>
      </c>
      <c r="D236" s="6" t="n"/>
      <c r="E236" s="6" t="inlineStr"/>
      <c r="F236" s="6" t="inlineStr"/>
    </row>
    <row r="237">
      <c r="A237" s="6" t="inlineStr">
        <is>
          <t>C06-08</t>
        </is>
      </c>
      <c r="B237" s="6" t="inlineStr">
        <is>
          <t>chatgpt</t>
        </is>
      </c>
      <c r="C237" s="6" t="inlineStr">
        <is>
          <t>REAL</t>
        </is>
      </c>
      <c r="D237" s="6" t="n"/>
      <c r="E237" s="6" t="inlineStr"/>
      <c r="F237" s="6" t="inlineStr"/>
    </row>
    <row r="238">
      <c r="A238" s="6" t="inlineStr">
        <is>
          <t>C06-09</t>
        </is>
      </c>
      <c r="B238" s="6" t="inlineStr">
        <is>
          <t>chatgpt</t>
        </is>
      </c>
      <c r="C238" s="6" t="inlineStr">
        <is>
          <t>REAL</t>
        </is>
      </c>
      <c r="D238" s="6" t="n"/>
      <c r="E238" s="6" t="inlineStr"/>
      <c r="F238" s="6" t="inlineStr"/>
    </row>
    <row r="239">
      <c r="A239" s="6" t="inlineStr">
        <is>
          <t>C06-10</t>
        </is>
      </c>
      <c r="B239" s="6" t="inlineStr">
        <is>
          <t>chatgpt</t>
        </is>
      </c>
      <c r="C239" s="6" t="inlineStr">
        <is>
          <t>REAL</t>
        </is>
      </c>
      <c r="D239" s="6" t="n"/>
      <c r="E239" s="6" t="inlineStr"/>
      <c r="F239" s="6" t="inlineStr"/>
    </row>
    <row r="240">
      <c r="A240" s="6" t="inlineStr">
        <is>
          <t>C06-11</t>
        </is>
      </c>
      <c r="B240" s="6" t="inlineStr">
        <is>
          <t>chatgpt</t>
        </is>
      </c>
      <c r="C240" s="6" t="inlineStr">
        <is>
          <t>REAL</t>
        </is>
      </c>
      <c r="D240" s="6" t="n"/>
      <c r="E240" s="6" t="inlineStr"/>
      <c r="F240" s="6" t="inlineStr"/>
    </row>
    <row r="241">
      <c r="A241" s="6" t="inlineStr">
        <is>
          <t>C06-12</t>
        </is>
      </c>
      <c r="B241" s="6" t="inlineStr">
        <is>
          <t>chatgpt</t>
        </is>
      </c>
      <c r="C241" s="6" t="inlineStr">
        <is>
          <t>REAL</t>
        </is>
      </c>
      <c r="D241" s="6" t="n"/>
      <c r="E241" s="6" t="inlineStr"/>
      <c r="F241" s="6" t="inlineStr"/>
    </row>
    <row r="242">
      <c r="A242" s="6" t="inlineStr">
        <is>
          <t>C06-13</t>
        </is>
      </c>
      <c r="B242" s="6" t="inlineStr">
        <is>
          <t>chatgpt</t>
        </is>
      </c>
      <c r="C242" s="6" t="inlineStr">
        <is>
          <t>REAL</t>
        </is>
      </c>
      <c r="D242" s="6" t="n"/>
      <c r="E242" s="6" t="inlineStr"/>
      <c r="F242" s="6" t="inlineStr"/>
    </row>
    <row r="243">
      <c r="A243" s="6" t="inlineStr">
        <is>
          <t>C06-14</t>
        </is>
      </c>
      <c r="B243" s="6" t="inlineStr">
        <is>
          <t>chatgpt</t>
        </is>
      </c>
      <c r="C243" s="6" t="inlineStr">
        <is>
          <t>REAL</t>
        </is>
      </c>
      <c r="D243" s="6" t="n"/>
      <c r="E243" s="6" t="inlineStr"/>
      <c r="F243" s="6" t="inlineStr"/>
    </row>
    <row r="244">
      <c r="A244" s="6" t="inlineStr">
        <is>
          <t>C06-15</t>
        </is>
      </c>
      <c r="B244" s="6" t="inlineStr">
        <is>
          <t>chatgpt</t>
        </is>
      </c>
      <c r="C244" s="6" t="inlineStr">
        <is>
          <t>REAL</t>
        </is>
      </c>
      <c r="D244" s="6" t="n"/>
      <c r="E244" s="6" t="inlineStr"/>
      <c r="F244" s="6" t="inlineStr"/>
    </row>
    <row r="245">
      <c r="A245" s="6" t="inlineStr">
        <is>
          <t>C06-16</t>
        </is>
      </c>
      <c r="B245" s="6" t="inlineStr">
        <is>
          <t>chatgpt</t>
        </is>
      </c>
      <c r="C245" s="6" t="inlineStr">
        <is>
          <t>REAL</t>
        </is>
      </c>
      <c r="D245" s="6" t="n"/>
      <c r="E245" s="6" t="inlineStr"/>
      <c r="F245" s="6" t="inlineStr"/>
    </row>
    <row r="246">
      <c r="A246" s="6" t="inlineStr">
        <is>
          <t>C06-17</t>
        </is>
      </c>
      <c r="B246" s="6" t="inlineStr">
        <is>
          <t>chatgpt</t>
        </is>
      </c>
      <c r="C246" s="6" t="inlineStr">
        <is>
          <t>REAL</t>
        </is>
      </c>
      <c r="D246" s="6" t="n"/>
      <c r="E246" s="6" t="inlineStr"/>
      <c r="F246" s="6" t="inlineStr"/>
    </row>
    <row r="247">
      <c r="A247" s="6" t="inlineStr">
        <is>
          <t>C06-18</t>
        </is>
      </c>
      <c r="B247" s="6" t="inlineStr">
        <is>
          <t>chatgpt</t>
        </is>
      </c>
      <c r="C247" s="6" t="inlineStr">
        <is>
          <t>REAL</t>
        </is>
      </c>
      <c r="D247" s="6" t="n"/>
      <c r="E247" s="6" t="inlineStr"/>
      <c r="F247" s="6" t="inlineStr"/>
    </row>
    <row r="248">
      <c r="A248" s="6" t="inlineStr">
        <is>
          <t>C06-19</t>
        </is>
      </c>
      <c r="B248" s="6" t="inlineStr">
        <is>
          <t>chatgpt</t>
        </is>
      </c>
      <c r="C248" s="6" t="inlineStr">
        <is>
          <t>REAL</t>
        </is>
      </c>
      <c r="D248" s="6" t="n"/>
      <c r="E248" s="6" t="inlineStr"/>
      <c r="F248" s="6" t="inlineStr"/>
    </row>
    <row r="249">
      <c r="A249" s="6" t="inlineStr">
        <is>
          <t>C06-20</t>
        </is>
      </c>
      <c r="B249" s="6" t="inlineStr">
        <is>
          <t>chatgpt</t>
        </is>
      </c>
      <c r="C249" s="6" t="inlineStr">
        <is>
          <t>REAL</t>
        </is>
      </c>
      <c r="D249" s="6" t="n"/>
      <c r="E249" s="6" t="inlineStr"/>
      <c r="F249" s="6" t="inlineStr"/>
    </row>
    <row r="250">
      <c r="A250" s="6" t="inlineStr">
        <is>
          <t>C06-21</t>
        </is>
      </c>
      <c r="B250" s="6" t="inlineStr">
        <is>
          <t>chatgpt</t>
        </is>
      </c>
      <c r="C250" s="6" t="inlineStr">
        <is>
          <t>REAL</t>
        </is>
      </c>
      <c r="D250" s="6" t="n"/>
      <c r="E250" s="6" t="inlineStr"/>
      <c r="F250" s="6" t="inlineStr"/>
    </row>
    <row r="251">
      <c r="A251" s="6" t="inlineStr">
        <is>
          <t>C06-22</t>
        </is>
      </c>
      <c r="B251" s="6" t="inlineStr">
        <is>
          <t>chatgpt</t>
        </is>
      </c>
      <c r="C251" s="6" t="inlineStr">
        <is>
          <t>REAL</t>
        </is>
      </c>
      <c r="D251" s="6" t="n"/>
      <c r="E251" s="6" t="inlineStr"/>
      <c r="F251" s="6" t="inlineStr"/>
    </row>
    <row r="252">
      <c r="A252" s="6" t="inlineStr">
        <is>
          <t>C06-23</t>
        </is>
      </c>
      <c r="B252" s="6" t="inlineStr">
        <is>
          <t>chatgpt</t>
        </is>
      </c>
      <c r="C252" s="6" t="inlineStr">
        <is>
          <t>REAL</t>
        </is>
      </c>
      <c r="D252" s="6" t="n"/>
      <c r="E252" s="6" t="inlineStr"/>
      <c r="F252" s="6" t="inlineStr"/>
    </row>
    <row r="253">
      <c r="A253" s="6" t="inlineStr">
        <is>
          <t>C06-24</t>
        </is>
      </c>
      <c r="B253" s="6" t="inlineStr">
        <is>
          <t>chatgpt</t>
        </is>
      </c>
      <c r="C253" s="6" t="inlineStr">
        <is>
          <t>REAL</t>
        </is>
      </c>
      <c r="D253" s="6" t="n"/>
      <c r="E253" s="6" t="inlineStr"/>
      <c r="F253" s="6" t="inlineStr"/>
    </row>
    <row r="254">
      <c r="A254" s="6" t="inlineStr">
        <is>
          <t>C06-25</t>
        </is>
      </c>
      <c r="B254" s="6" t="inlineStr">
        <is>
          <t>chatgpt</t>
        </is>
      </c>
      <c r="C254" s="6" t="inlineStr">
        <is>
          <t>REAL</t>
        </is>
      </c>
      <c r="D254" s="6" t="n"/>
      <c r="E254" s="6" t="inlineStr"/>
      <c r="F254" s="6" t="inlineStr"/>
    </row>
    <row r="255">
      <c r="A255" s="6" t="inlineStr">
        <is>
          <t>C06-26</t>
        </is>
      </c>
      <c r="B255" s="6" t="inlineStr">
        <is>
          <t>chatgpt</t>
        </is>
      </c>
      <c r="C255" s="6" t="inlineStr">
        <is>
          <t>REAL</t>
        </is>
      </c>
      <c r="D255" s="6" t="n"/>
      <c r="E255" s="6" t="inlineStr"/>
      <c r="F255" s="6" t="inlineStr"/>
    </row>
    <row r="256">
      <c r="A256" s="6" t="inlineStr">
        <is>
          <t>C06-27</t>
        </is>
      </c>
      <c r="B256" s="6" t="inlineStr">
        <is>
          <t>chatgpt</t>
        </is>
      </c>
      <c r="C256" s="6" t="inlineStr">
        <is>
          <t>REAL</t>
        </is>
      </c>
      <c r="D256" s="6" t="n"/>
      <c r="E256" s="6" t="inlineStr"/>
      <c r="F256" s="6" t="inlineStr"/>
    </row>
    <row r="257">
      <c r="A257" s="6" t="inlineStr">
        <is>
          <t>C06-28</t>
        </is>
      </c>
      <c r="B257" s="6" t="inlineStr">
        <is>
          <t>chatgpt</t>
        </is>
      </c>
      <c r="C257" s="6" t="inlineStr">
        <is>
          <t>REAL</t>
        </is>
      </c>
      <c r="D257" s="6" t="n"/>
      <c r="E257" s="6" t="inlineStr"/>
      <c r="F257" s="6" t="inlineStr"/>
    </row>
    <row r="258">
      <c r="A258" s="6" t="inlineStr">
        <is>
          <t>C06-29</t>
        </is>
      </c>
      <c r="B258" s="6" t="inlineStr">
        <is>
          <t>chatgpt</t>
        </is>
      </c>
      <c r="C258" s="6" t="inlineStr">
        <is>
          <t>REAL</t>
        </is>
      </c>
      <c r="D258" s="6" t="n"/>
      <c r="E258" s="6" t="inlineStr"/>
      <c r="F258" s="6" t="inlineStr"/>
    </row>
    <row r="259">
      <c r="A259" s="6" t="inlineStr">
        <is>
          <t>C06-30</t>
        </is>
      </c>
      <c r="B259" s="6" t="inlineStr">
        <is>
          <t>chatgpt</t>
        </is>
      </c>
      <c r="C259" s="6" t="inlineStr">
        <is>
          <t>REAL</t>
        </is>
      </c>
      <c r="D259" s="6" t="n"/>
      <c r="E259" s="6" t="inlineStr"/>
      <c r="F259" s="6" t="inlineStr"/>
    </row>
    <row r="260">
      <c r="A260" s="6" t="inlineStr">
        <is>
          <t>C06-31</t>
        </is>
      </c>
      <c r="B260" s="6" t="inlineStr">
        <is>
          <t>chatgpt</t>
        </is>
      </c>
      <c r="C260" s="6" t="inlineStr">
        <is>
          <t>REAL</t>
        </is>
      </c>
      <c r="D260" s="6" t="n"/>
      <c r="E260" s="6" t="inlineStr"/>
      <c r="F260" s="6" t="inlineStr"/>
    </row>
    <row r="261">
      <c r="A261" s="6" t="inlineStr">
        <is>
          <t>C06-32</t>
        </is>
      </c>
      <c r="B261" s="6" t="inlineStr">
        <is>
          <t>chatgpt</t>
        </is>
      </c>
      <c r="C261" s="6" t="inlineStr">
        <is>
          <t>REAL</t>
        </is>
      </c>
      <c r="D261" s="6" t="n"/>
      <c r="E261" s="6" t="inlineStr"/>
      <c r="F261" s="6" t="inlineStr"/>
    </row>
    <row r="262">
      <c r="A262" s="6" t="inlineStr">
        <is>
          <t>C07-01</t>
        </is>
      </c>
      <c r="B262" s="6" t="inlineStr">
        <is>
          <t>chatgpt</t>
        </is>
      </c>
      <c r="C262" s="6" t="inlineStr">
        <is>
          <t>REAL</t>
        </is>
      </c>
      <c r="D262" s="6" t="n"/>
      <c r="E262" s="6" t="inlineStr"/>
      <c r="F262" s="6" t="inlineStr"/>
    </row>
    <row r="263">
      <c r="A263" s="6" t="inlineStr">
        <is>
          <t>C07-02</t>
        </is>
      </c>
      <c r="B263" s="6" t="inlineStr">
        <is>
          <t>chatgpt</t>
        </is>
      </c>
      <c r="C263" s="6" t="inlineStr">
        <is>
          <t>REAL</t>
        </is>
      </c>
      <c r="D263" s="6" t="n"/>
      <c r="E263" s="6" t="inlineStr"/>
      <c r="F263" s="6" t="inlineStr"/>
    </row>
    <row r="264">
      <c r="A264" s="6" t="inlineStr">
        <is>
          <t>C07-03</t>
        </is>
      </c>
      <c r="B264" s="6" t="inlineStr">
        <is>
          <t>chatgpt</t>
        </is>
      </c>
      <c r="C264" s="6" t="inlineStr">
        <is>
          <t>REAL</t>
        </is>
      </c>
      <c r="D264" s="6" t="n"/>
      <c r="E264" s="6" t="inlineStr"/>
      <c r="F264" s="6" t="inlineStr"/>
    </row>
    <row r="265">
      <c r="A265" s="6" t="inlineStr">
        <is>
          <t>C07-04</t>
        </is>
      </c>
      <c r="B265" s="6" t="inlineStr">
        <is>
          <t>chatgpt</t>
        </is>
      </c>
      <c r="C265" s="6" t="inlineStr">
        <is>
          <t>REAL</t>
        </is>
      </c>
      <c r="D265" s="6" t="n"/>
      <c r="E265" s="6" t="inlineStr"/>
      <c r="F265" s="6" t="inlineStr"/>
    </row>
    <row r="266">
      <c r="A266" s="6" t="inlineStr">
        <is>
          <t>C07-05</t>
        </is>
      </c>
      <c r="B266" s="6" t="inlineStr">
        <is>
          <t>chatgpt</t>
        </is>
      </c>
      <c r="C266" s="6" t="inlineStr">
        <is>
          <t>REAL</t>
        </is>
      </c>
      <c r="D266" s="6" t="n"/>
      <c r="E266" s="6" t="inlineStr"/>
      <c r="F266" s="6" t="inlineStr"/>
    </row>
    <row r="267">
      <c r="A267" s="6" t="inlineStr">
        <is>
          <t>C07-06</t>
        </is>
      </c>
      <c r="B267" s="6" t="inlineStr">
        <is>
          <t>chatgpt</t>
        </is>
      </c>
      <c r="C267" s="6" t="inlineStr">
        <is>
          <t>REAL</t>
        </is>
      </c>
      <c r="D267" s="6" t="n"/>
      <c r="E267" s="6" t="inlineStr"/>
      <c r="F267" s="6" t="inlineStr"/>
    </row>
    <row r="268">
      <c r="A268" s="6" t="inlineStr">
        <is>
          <t>C07-07</t>
        </is>
      </c>
      <c r="B268" s="6" t="inlineStr">
        <is>
          <t>chatgpt</t>
        </is>
      </c>
      <c r="C268" s="6" t="inlineStr">
        <is>
          <t>REAL</t>
        </is>
      </c>
      <c r="D268" s="6" t="n"/>
      <c r="E268" s="6" t="inlineStr"/>
      <c r="F268" s="6" t="inlineStr"/>
    </row>
    <row r="269">
      <c r="A269" s="6" t="inlineStr">
        <is>
          <t>C07-08</t>
        </is>
      </c>
      <c r="B269" s="6" t="inlineStr">
        <is>
          <t>chatgpt</t>
        </is>
      </c>
      <c r="C269" s="6" t="inlineStr">
        <is>
          <t>REAL</t>
        </is>
      </c>
      <c r="D269" s="6" t="n"/>
      <c r="E269" s="6" t="inlineStr"/>
      <c r="F269" s="6" t="inlineStr"/>
    </row>
    <row r="270">
      <c r="A270" s="6" t="inlineStr">
        <is>
          <t>C07-09</t>
        </is>
      </c>
      <c r="B270" s="6" t="inlineStr">
        <is>
          <t>chatgpt</t>
        </is>
      </c>
      <c r="C270" s="6" t="inlineStr">
        <is>
          <t>REAL</t>
        </is>
      </c>
      <c r="D270" s="6" t="n"/>
      <c r="E270" s="6" t="inlineStr"/>
      <c r="F270" s="6" t="inlineStr"/>
    </row>
    <row r="271">
      <c r="A271" s="6" t="inlineStr">
        <is>
          <t>C07-10</t>
        </is>
      </c>
      <c r="B271" s="6" t="inlineStr">
        <is>
          <t>chatgpt</t>
        </is>
      </c>
      <c r="C271" s="6" t="inlineStr">
        <is>
          <t>REAL</t>
        </is>
      </c>
      <c r="D271" s="6" t="n"/>
      <c r="E271" s="6" t="inlineStr"/>
      <c r="F271" s="6" t="inlineStr"/>
    </row>
    <row r="272">
      <c r="A272" s="6" t="inlineStr">
        <is>
          <t>C07-11</t>
        </is>
      </c>
      <c r="B272" s="6" t="inlineStr">
        <is>
          <t>chatgpt</t>
        </is>
      </c>
      <c r="C272" s="6" t="inlineStr">
        <is>
          <t>REAL</t>
        </is>
      </c>
      <c r="D272" s="6" t="n"/>
      <c r="E272" s="6" t="inlineStr"/>
      <c r="F272" s="6" t="inlineStr"/>
    </row>
    <row r="273">
      <c r="A273" s="6" t="inlineStr">
        <is>
          <t>C07-12</t>
        </is>
      </c>
      <c r="B273" s="6" t="inlineStr">
        <is>
          <t>chatgpt</t>
        </is>
      </c>
      <c r="C273" s="6" t="inlineStr">
        <is>
          <t>REAL</t>
        </is>
      </c>
      <c r="D273" s="6" t="n"/>
      <c r="E273" s="6" t="inlineStr"/>
      <c r="F273" s="6" t="inlineStr"/>
    </row>
    <row r="274">
      <c r="A274" s="6" t="inlineStr">
        <is>
          <t>C07-13</t>
        </is>
      </c>
      <c r="B274" s="6" t="inlineStr">
        <is>
          <t>chatgpt</t>
        </is>
      </c>
      <c r="C274" s="6" t="inlineStr">
        <is>
          <t>REAL</t>
        </is>
      </c>
      <c r="D274" s="6" t="n"/>
      <c r="E274" s="6" t="inlineStr"/>
      <c r="F274" s="6" t="inlineStr"/>
    </row>
    <row r="275">
      <c r="A275" s="6" t="inlineStr">
        <is>
          <t>C07-14</t>
        </is>
      </c>
      <c r="B275" s="6" t="inlineStr">
        <is>
          <t>chatgpt</t>
        </is>
      </c>
      <c r="C275" s="6" t="inlineStr">
        <is>
          <t>REAL</t>
        </is>
      </c>
      <c r="D275" s="6" t="n"/>
      <c r="E275" s="6" t="inlineStr"/>
      <c r="F275" s="6" t="inlineStr"/>
    </row>
    <row r="276">
      <c r="A276" s="6" t="inlineStr">
        <is>
          <t>C07-15</t>
        </is>
      </c>
      <c r="B276" s="6" t="inlineStr">
        <is>
          <t>chatgpt</t>
        </is>
      </c>
      <c r="C276" s="6" t="inlineStr">
        <is>
          <t>REAL</t>
        </is>
      </c>
      <c r="D276" s="6" t="n"/>
      <c r="E276" s="6" t="inlineStr"/>
      <c r="F276" s="6" t="inlineStr"/>
    </row>
    <row r="277">
      <c r="A277" s="6" t="inlineStr">
        <is>
          <t>C07-16</t>
        </is>
      </c>
      <c r="B277" s="6" t="inlineStr">
        <is>
          <t>chatgpt</t>
        </is>
      </c>
      <c r="C277" s="6" t="inlineStr">
        <is>
          <t>REAL</t>
        </is>
      </c>
      <c r="D277" s="6" t="n"/>
      <c r="E277" s="6" t="inlineStr"/>
      <c r="F277" s="6" t="inlineStr"/>
    </row>
    <row r="278">
      <c r="A278" s="6" t="inlineStr">
        <is>
          <t>C07-17</t>
        </is>
      </c>
      <c r="B278" s="6" t="inlineStr">
        <is>
          <t>chatgpt</t>
        </is>
      </c>
      <c r="C278" s="6" t="inlineStr">
        <is>
          <t>REAL</t>
        </is>
      </c>
      <c r="D278" s="6" t="n"/>
      <c r="E278" s="6" t="inlineStr"/>
      <c r="F278" s="6" t="inlineStr"/>
    </row>
    <row r="279">
      <c r="A279" s="6" t="inlineStr">
        <is>
          <t>C07-18</t>
        </is>
      </c>
      <c r="B279" s="6" t="inlineStr">
        <is>
          <t>chatgpt</t>
        </is>
      </c>
      <c r="C279" s="6" t="inlineStr">
        <is>
          <t>REAL</t>
        </is>
      </c>
      <c r="D279" s="6" t="n"/>
      <c r="E279" s="6" t="inlineStr"/>
      <c r="F279" s="6" t="inlineStr"/>
    </row>
    <row r="280">
      <c r="A280" s="6" t="inlineStr">
        <is>
          <t>C07-19</t>
        </is>
      </c>
      <c r="B280" s="6" t="inlineStr">
        <is>
          <t>chatgpt</t>
        </is>
      </c>
      <c r="C280" s="6" t="inlineStr">
        <is>
          <t>REAL</t>
        </is>
      </c>
      <c r="D280" s="6" t="n"/>
      <c r="E280" s="6" t="inlineStr"/>
      <c r="F280" s="6" t="inlineStr"/>
    </row>
    <row r="281">
      <c r="A281" s="6" t="inlineStr">
        <is>
          <t>C07-20</t>
        </is>
      </c>
      <c r="B281" s="6" t="inlineStr">
        <is>
          <t>chatgpt</t>
        </is>
      </c>
      <c r="C281" s="6" t="inlineStr">
        <is>
          <t>REAL</t>
        </is>
      </c>
      <c r="D281" s="6" t="n"/>
      <c r="E281" s="6" t="inlineStr"/>
      <c r="F281" s="6" t="inlineStr"/>
    </row>
    <row r="282">
      <c r="A282" s="6" t="inlineStr">
        <is>
          <t>C07-21</t>
        </is>
      </c>
      <c r="B282" s="6" t="inlineStr">
        <is>
          <t>chatgpt</t>
        </is>
      </c>
      <c r="C282" s="6" t="inlineStr">
        <is>
          <t>REAL</t>
        </is>
      </c>
      <c r="D282" s="6" t="n"/>
      <c r="E282" s="6" t="inlineStr"/>
      <c r="F282" s="6" t="inlineStr"/>
    </row>
    <row r="283">
      <c r="A283" s="6" t="inlineStr">
        <is>
          <t>C07-22</t>
        </is>
      </c>
      <c r="B283" s="6" t="inlineStr">
        <is>
          <t>chatgpt</t>
        </is>
      </c>
      <c r="C283" s="6" t="inlineStr">
        <is>
          <t>REAL</t>
        </is>
      </c>
      <c r="D283" s="6" t="n"/>
      <c r="E283" s="6" t="inlineStr"/>
      <c r="F283" s="6" t="inlineStr"/>
    </row>
    <row r="284">
      <c r="A284" s="6" t="inlineStr">
        <is>
          <t>C07-23</t>
        </is>
      </c>
      <c r="B284" s="6" t="inlineStr">
        <is>
          <t>chatgpt</t>
        </is>
      </c>
      <c r="C284" s="6" t="inlineStr">
        <is>
          <t>REAL</t>
        </is>
      </c>
      <c r="D284" s="6" t="n"/>
      <c r="E284" s="6" t="inlineStr"/>
      <c r="F284" s="6" t="inlineStr"/>
    </row>
    <row r="285">
      <c r="A285" s="6" t="inlineStr">
        <is>
          <t>C07-24</t>
        </is>
      </c>
      <c r="B285" s="6" t="inlineStr">
        <is>
          <t>chatgpt</t>
        </is>
      </c>
      <c r="C285" s="6" t="inlineStr">
        <is>
          <t>REAL</t>
        </is>
      </c>
      <c r="D285" s="6" t="n"/>
      <c r="E285" s="6" t="inlineStr"/>
      <c r="F285" s="6" t="inlineStr"/>
    </row>
    <row r="286">
      <c r="A286" s="6" t="inlineStr">
        <is>
          <t>C07-25</t>
        </is>
      </c>
      <c r="B286" s="6" t="inlineStr">
        <is>
          <t>chatgpt</t>
        </is>
      </c>
      <c r="C286" s="6" t="inlineStr">
        <is>
          <t>REAL</t>
        </is>
      </c>
      <c r="D286" s="6" t="n"/>
      <c r="E286" s="6" t="inlineStr"/>
      <c r="F286" s="6" t="inlineStr"/>
    </row>
    <row r="287">
      <c r="A287" s="6" t="inlineStr">
        <is>
          <t>C08-01</t>
        </is>
      </c>
      <c r="B287" s="6" t="inlineStr">
        <is>
          <t>chatgpt</t>
        </is>
      </c>
      <c r="C287" s="6" t="inlineStr">
        <is>
          <t>REAL</t>
        </is>
      </c>
      <c r="D287" s="6" t="n"/>
      <c r="E287" s="6" t="inlineStr"/>
      <c r="F287" s="6" t="inlineStr"/>
    </row>
    <row r="288">
      <c r="A288" s="6" t="inlineStr">
        <is>
          <t>C08-02</t>
        </is>
      </c>
      <c r="B288" s="6" t="inlineStr">
        <is>
          <t>chatgpt</t>
        </is>
      </c>
      <c r="C288" s="6" t="inlineStr">
        <is>
          <t>REAL</t>
        </is>
      </c>
      <c r="D288" s="6" t="n"/>
      <c r="E288" s="6" t="inlineStr"/>
      <c r="F288" s="6" t="inlineStr"/>
    </row>
    <row r="289">
      <c r="A289" s="6" t="inlineStr">
        <is>
          <t>C08-03</t>
        </is>
      </c>
      <c r="B289" s="6" t="inlineStr">
        <is>
          <t>chatgpt</t>
        </is>
      </c>
      <c r="C289" s="6" t="inlineStr">
        <is>
          <t>REAL</t>
        </is>
      </c>
      <c r="D289" s="6" t="n"/>
      <c r="E289" s="6" t="inlineStr"/>
      <c r="F289" s="6" t="inlineStr"/>
    </row>
    <row r="290">
      <c r="A290" s="6" t="inlineStr">
        <is>
          <t>C08-04</t>
        </is>
      </c>
      <c r="B290" s="6" t="inlineStr">
        <is>
          <t>chatgpt</t>
        </is>
      </c>
      <c r="C290" s="6" t="inlineStr">
        <is>
          <t>REAL</t>
        </is>
      </c>
      <c r="D290" s="6" t="n"/>
      <c r="E290" s="6" t="inlineStr"/>
      <c r="F290" s="6" t="inlineStr"/>
    </row>
    <row r="291">
      <c r="A291" s="6" t="inlineStr">
        <is>
          <t>C08-05</t>
        </is>
      </c>
      <c r="B291" s="6" t="inlineStr">
        <is>
          <t>chatgpt</t>
        </is>
      </c>
      <c r="C291" s="6" t="inlineStr">
        <is>
          <t>REAL</t>
        </is>
      </c>
      <c r="D291" s="6" t="n"/>
      <c r="E291" s="6" t="inlineStr"/>
      <c r="F291" s="6" t="inlineStr"/>
    </row>
    <row r="292">
      <c r="A292" s="6" t="inlineStr">
        <is>
          <t>C08-06</t>
        </is>
      </c>
      <c r="B292" s="6" t="inlineStr">
        <is>
          <t>chatgpt</t>
        </is>
      </c>
      <c r="C292" s="6" t="inlineStr">
        <is>
          <t>REAL</t>
        </is>
      </c>
      <c r="D292" s="6" t="n"/>
      <c r="E292" s="6" t="inlineStr"/>
      <c r="F292" s="6" t="inlineStr"/>
    </row>
    <row r="293">
      <c r="A293" s="6" t="inlineStr">
        <is>
          <t>C08-07</t>
        </is>
      </c>
      <c r="B293" s="6" t="inlineStr">
        <is>
          <t>chatgpt</t>
        </is>
      </c>
      <c r="C293" s="6" t="inlineStr">
        <is>
          <t>REAL</t>
        </is>
      </c>
      <c r="D293" s="6" t="n"/>
      <c r="E293" s="6" t="inlineStr"/>
      <c r="F293" s="6" t="inlineStr"/>
    </row>
    <row r="294">
      <c r="A294" s="6" t="inlineStr">
        <is>
          <t>C08-08</t>
        </is>
      </c>
      <c r="B294" s="6" t="inlineStr">
        <is>
          <t>chatgpt</t>
        </is>
      </c>
      <c r="C294" s="6" t="inlineStr">
        <is>
          <t>REAL</t>
        </is>
      </c>
      <c r="D294" s="6" t="n"/>
      <c r="E294" s="6" t="inlineStr"/>
      <c r="F294" s="6" t="inlineStr"/>
    </row>
    <row r="295">
      <c r="A295" s="6" t="inlineStr">
        <is>
          <t>C08-09</t>
        </is>
      </c>
      <c r="B295" s="6" t="inlineStr">
        <is>
          <t>chatgpt</t>
        </is>
      </c>
      <c r="C295" s="6" t="inlineStr">
        <is>
          <t>REAL</t>
        </is>
      </c>
      <c r="D295" s="6" t="n"/>
      <c r="E295" s="6" t="inlineStr"/>
      <c r="F295" s="6" t="inlineStr"/>
    </row>
    <row r="296">
      <c r="A296" s="6" t="inlineStr">
        <is>
          <t>C08-10</t>
        </is>
      </c>
      <c r="B296" s="6" t="inlineStr">
        <is>
          <t>chatgpt</t>
        </is>
      </c>
      <c r="C296" s="6" t="inlineStr">
        <is>
          <t>REAL</t>
        </is>
      </c>
      <c r="D296" s="6" t="n"/>
      <c r="E296" s="6" t="inlineStr"/>
      <c r="F296" s="6" t="inlineStr"/>
    </row>
    <row r="297">
      <c r="A297" s="6" t="inlineStr">
        <is>
          <t>C08-11</t>
        </is>
      </c>
      <c r="B297" s="6" t="inlineStr">
        <is>
          <t>chatgpt</t>
        </is>
      </c>
      <c r="C297" s="6" t="inlineStr">
        <is>
          <t>REAL</t>
        </is>
      </c>
      <c r="D297" s="6" t="n"/>
      <c r="E297" s="6" t="inlineStr"/>
      <c r="F297" s="6" t="inlineStr"/>
    </row>
    <row r="298">
      <c r="A298" s="6" t="inlineStr">
        <is>
          <t>C08-12</t>
        </is>
      </c>
      <c r="B298" s="6" t="inlineStr">
        <is>
          <t>chatgpt</t>
        </is>
      </c>
      <c r="C298" s="6" t="inlineStr">
        <is>
          <t>REAL</t>
        </is>
      </c>
      <c r="D298" s="6" t="n"/>
      <c r="E298" s="6" t="inlineStr"/>
      <c r="F298" s="6" t="inlineStr"/>
    </row>
    <row r="299">
      <c r="A299" s="6" t="inlineStr">
        <is>
          <t>C08-13</t>
        </is>
      </c>
      <c r="B299" s="6" t="inlineStr">
        <is>
          <t>chatgpt</t>
        </is>
      </c>
      <c r="C299" s="6" t="inlineStr">
        <is>
          <t>REAL</t>
        </is>
      </c>
      <c r="D299" s="6" t="n"/>
      <c r="E299" s="6" t="inlineStr"/>
      <c r="F299" s="6" t="inlineStr"/>
    </row>
    <row r="300">
      <c r="A300" s="6" t="inlineStr">
        <is>
          <t>C08-14</t>
        </is>
      </c>
      <c r="B300" s="6" t="inlineStr">
        <is>
          <t>chatgpt</t>
        </is>
      </c>
      <c r="C300" s="6" t="inlineStr">
        <is>
          <t>REAL</t>
        </is>
      </c>
      <c r="D300" s="6" t="n"/>
      <c r="E300" s="6" t="inlineStr"/>
      <c r="F300" s="6" t="inlineStr"/>
    </row>
    <row r="301">
      <c r="A301" s="6" t="inlineStr">
        <is>
          <t>C08-15</t>
        </is>
      </c>
      <c r="B301" s="6" t="inlineStr">
        <is>
          <t>chatgpt</t>
        </is>
      </c>
      <c r="C301" s="6" t="inlineStr">
        <is>
          <t>REAL</t>
        </is>
      </c>
      <c r="D301" s="6" t="n"/>
      <c r="E301" s="6" t="inlineStr"/>
      <c r="F301" s="6" t="inlineStr"/>
    </row>
    <row r="302">
      <c r="A302" s="6" t="inlineStr">
        <is>
          <t>C08-16</t>
        </is>
      </c>
      <c r="B302" s="6" t="inlineStr">
        <is>
          <t>chatgpt</t>
        </is>
      </c>
      <c r="C302" s="6" t="inlineStr">
        <is>
          <t>REAL</t>
        </is>
      </c>
      <c r="D302" s="6" t="n"/>
      <c r="E302" s="6" t="inlineStr"/>
      <c r="F302" s="6" t="inlineStr"/>
    </row>
    <row r="303">
      <c r="A303" s="6" t="inlineStr">
        <is>
          <t>C08-17</t>
        </is>
      </c>
      <c r="B303" s="6" t="inlineStr">
        <is>
          <t>chatgpt</t>
        </is>
      </c>
      <c r="C303" s="6" t="inlineStr">
        <is>
          <t>REAL</t>
        </is>
      </c>
      <c r="D303" s="6" t="n"/>
      <c r="E303" s="6" t="inlineStr"/>
      <c r="F303" s="6" t="inlineStr"/>
    </row>
    <row r="304">
      <c r="A304" s="6" t="inlineStr">
        <is>
          <t>C08-18</t>
        </is>
      </c>
      <c r="B304" s="6" t="inlineStr">
        <is>
          <t>chatgpt</t>
        </is>
      </c>
      <c r="C304" s="6" t="inlineStr">
        <is>
          <t>REAL</t>
        </is>
      </c>
      <c r="D304" s="6" t="n"/>
      <c r="E304" s="6" t="inlineStr"/>
      <c r="F304" s="6" t="inlineStr"/>
    </row>
    <row r="305">
      <c r="A305" s="6" t="inlineStr">
        <is>
          <t>C08-19</t>
        </is>
      </c>
      <c r="B305" s="6" t="inlineStr">
        <is>
          <t>chatgpt</t>
        </is>
      </c>
      <c r="C305" s="6" t="inlineStr">
        <is>
          <t>REAL</t>
        </is>
      </c>
      <c r="D305" s="6" t="n"/>
      <c r="E305" s="6" t="inlineStr"/>
      <c r="F305" s="6" t="inlineStr"/>
    </row>
    <row r="306">
      <c r="A306" s="6" t="inlineStr">
        <is>
          <t>C08-20</t>
        </is>
      </c>
      <c r="B306" s="6" t="inlineStr">
        <is>
          <t>chatgpt</t>
        </is>
      </c>
      <c r="C306" s="6" t="inlineStr">
        <is>
          <t>REAL</t>
        </is>
      </c>
      <c r="D306" s="6" t="n"/>
      <c r="E306" s="6" t="inlineStr"/>
      <c r="F306" s="6" t="inlineStr"/>
    </row>
    <row r="307">
      <c r="A307" s="6" t="inlineStr">
        <is>
          <t>C08-21</t>
        </is>
      </c>
      <c r="B307" s="6" t="inlineStr">
        <is>
          <t>chatgpt</t>
        </is>
      </c>
      <c r="C307" s="6" t="inlineStr">
        <is>
          <t>REAL</t>
        </is>
      </c>
      <c r="D307" s="6" t="n"/>
      <c r="E307" s="6" t="inlineStr"/>
      <c r="F307" s="6" t="inlineStr"/>
    </row>
    <row r="308">
      <c r="A308" s="6" t="inlineStr">
        <is>
          <t>C08-22</t>
        </is>
      </c>
      <c r="B308" s="6" t="inlineStr">
        <is>
          <t>chatgpt</t>
        </is>
      </c>
      <c r="C308" s="6" t="inlineStr">
        <is>
          <t>REAL</t>
        </is>
      </c>
      <c r="D308" s="6" t="n"/>
      <c r="E308" s="6" t="inlineStr"/>
      <c r="F308" s="6" t="inlineStr"/>
    </row>
    <row r="309">
      <c r="A309" s="6" t="inlineStr">
        <is>
          <t>C08-23</t>
        </is>
      </c>
      <c r="B309" s="6" t="inlineStr">
        <is>
          <t>chatgpt</t>
        </is>
      </c>
      <c r="C309" s="6" t="inlineStr">
        <is>
          <t>REAL</t>
        </is>
      </c>
      <c r="D309" s="6" t="n"/>
      <c r="E309" s="6" t="inlineStr"/>
      <c r="F309" s="6" t="inlineStr"/>
    </row>
    <row r="310">
      <c r="A310" s="6" t="inlineStr">
        <is>
          <t>C08-24</t>
        </is>
      </c>
      <c r="B310" s="6" t="inlineStr">
        <is>
          <t>chatgpt</t>
        </is>
      </c>
      <c r="C310" s="6" t="inlineStr">
        <is>
          <t>REAL</t>
        </is>
      </c>
      <c r="D310" s="6" t="n"/>
      <c r="E310" s="6" t="inlineStr"/>
      <c r="F310" s="6" t="inlineStr"/>
    </row>
    <row r="311">
      <c r="A311" s="6" t="inlineStr">
        <is>
          <t>C09-01</t>
        </is>
      </c>
      <c r="B311" s="6" t="inlineStr">
        <is>
          <t>chatgpt</t>
        </is>
      </c>
      <c r="C311" s="6" t="inlineStr">
        <is>
          <t>REAL</t>
        </is>
      </c>
      <c r="D311" s="6" t="n"/>
      <c r="E311" s="6" t="inlineStr"/>
      <c r="F311" s="6" t="inlineStr"/>
    </row>
    <row r="312">
      <c r="A312" s="6" t="inlineStr">
        <is>
          <t>C09-02</t>
        </is>
      </c>
      <c r="B312" s="6" t="inlineStr">
        <is>
          <t>chatgpt</t>
        </is>
      </c>
      <c r="C312" s="6" t="inlineStr">
        <is>
          <t>REAL</t>
        </is>
      </c>
      <c r="D312" s="6" t="n"/>
      <c r="E312" s="6" t="inlineStr"/>
      <c r="F312" s="6" t="inlineStr"/>
    </row>
    <row r="313">
      <c r="A313" s="6" t="inlineStr">
        <is>
          <t>C09-03</t>
        </is>
      </c>
      <c r="B313" s="6" t="inlineStr">
        <is>
          <t>chatgpt</t>
        </is>
      </c>
      <c r="C313" s="6" t="inlineStr">
        <is>
          <t>REAL</t>
        </is>
      </c>
      <c r="D313" s="6" t="n"/>
      <c r="E313" s="6" t="inlineStr"/>
      <c r="F313" s="6" t="inlineStr"/>
    </row>
    <row r="314">
      <c r="A314" s="6" t="inlineStr">
        <is>
          <t>C09-04</t>
        </is>
      </c>
      <c r="B314" s="6" t="inlineStr">
        <is>
          <t>chatgpt</t>
        </is>
      </c>
      <c r="C314" s="6" t="inlineStr">
        <is>
          <t>REAL</t>
        </is>
      </c>
      <c r="D314" s="6" t="n"/>
      <c r="E314" s="6" t="inlineStr"/>
      <c r="F314" s="6" t="inlineStr"/>
    </row>
    <row r="315">
      <c r="A315" s="6" t="inlineStr">
        <is>
          <t>C09-05</t>
        </is>
      </c>
      <c r="B315" s="6" t="inlineStr">
        <is>
          <t>chatgpt</t>
        </is>
      </c>
      <c r="C315" s="6" t="inlineStr">
        <is>
          <t>REAL</t>
        </is>
      </c>
      <c r="D315" s="6" t="n"/>
      <c r="E315" s="6" t="inlineStr"/>
      <c r="F315" s="6" t="inlineStr"/>
    </row>
    <row r="316">
      <c r="A316" s="6" t="inlineStr">
        <is>
          <t>C09-06</t>
        </is>
      </c>
      <c r="B316" s="6" t="inlineStr">
        <is>
          <t>chatgpt</t>
        </is>
      </c>
      <c r="C316" s="6" t="inlineStr">
        <is>
          <t>REAL</t>
        </is>
      </c>
      <c r="D316" s="6" t="n"/>
      <c r="E316" s="6" t="inlineStr"/>
      <c r="F316" s="6" t="inlineStr"/>
    </row>
    <row r="317">
      <c r="A317" s="6" t="inlineStr">
        <is>
          <t>C09-07</t>
        </is>
      </c>
      <c r="B317" s="6" t="inlineStr">
        <is>
          <t>chatgpt</t>
        </is>
      </c>
      <c r="C317" s="6" t="inlineStr">
        <is>
          <t>REAL</t>
        </is>
      </c>
      <c r="D317" s="6" t="n"/>
      <c r="E317" s="6" t="inlineStr"/>
      <c r="F317" s="6" t="inlineStr"/>
    </row>
    <row r="318">
      <c r="A318" s="6" t="inlineStr">
        <is>
          <t>C09-08</t>
        </is>
      </c>
      <c r="B318" s="6" t="inlineStr">
        <is>
          <t>chatgpt</t>
        </is>
      </c>
      <c r="C318" s="6" t="inlineStr">
        <is>
          <t>REAL</t>
        </is>
      </c>
      <c r="D318" s="6" t="n"/>
      <c r="E318" s="6" t="inlineStr"/>
      <c r="F318" s="6" t="inlineStr"/>
    </row>
    <row r="319">
      <c r="A319" s="6" t="inlineStr">
        <is>
          <t>C09-09</t>
        </is>
      </c>
      <c r="B319" s="6" t="inlineStr">
        <is>
          <t>chatgpt</t>
        </is>
      </c>
      <c r="C319" s="6" t="inlineStr">
        <is>
          <t>REAL</t>
        </is>
      </c>
      <c r="D319" s="6" t="n"/>
      <c r="E319" s="6" t="inlineStr"/>
      <c r="F319" s="6" t="inlineStr"/>
    </row>
    <row r="320">
      <c r="A320" s="6" t="inlineStr">
        <is>
          <t>C09-10</t>
        </is>
      </c>
      <c r="B320" s="6" t="inlineStr">
        <is>
          <t>chatgpt</t>
        </is>
      </c>
      <c r="C320" s="6" t="inlineStr">
        <is>
          <t>REAL</t>
        </is>
      </c>
      <c r="D320" s="6" t="n"/>
      <c r="E320" s="6" t="inlineStr"/>
      <c r="F320" s="6" t="inlineStr"/>
    </row>
    <row r="321">
      <c r="A321" s="6" t="inlineStr">
        <is>
          <t>C09-11</t>
        </is>
      </c>
      <c r="B321" s="6" t="inlineStr">
        <is>
          <t>chatgpt</t>
        </is>
      </c>
      <c r="C321" s="6" t="inlineStr">
        <is>
          <t>REAL</t>
        </is>
      </c>
      <c r="D321" s="6" t="n"/>
      <c r="E321" s="6" t="inlineStr"/>
      <c r="F321" s="6" t="inlineStr"/>
    </row>
    <row r="322">
      <c r="A322" s="6" t="inlineStr">
        <is>
          <t>C09-12</t>
        </is>
      </c>
      <c r="B322" s="6" t="inlineStr">
        <is>
          <t>chatgpt</t>
        </is>
      </c>
      <c r="C322" s="6" t="inlineStr">
        <is>
          <t>REAL</t>
        </is>
      </c>
      <c r="D322" s="6" t="n"/>
      <c r="E322" s="6" t="inlineStr"/>
      <c r="F322" s="6" t="inlineStr"/>
    </row>
    <row r="323">
      <c r="A323" s="6" t="inlineStr">
        <is>
          <t>C09-13</t>
        </is>
      </c>
      <c r="B323" s="6" t="inlineStr">
        <is>
          <t>chatgpt</t>
        </is>
      </c>
      <c r="C323" s="6" t="inlineStr">
        <is>
          <t>REAL</t>
        </is>
      </c>
      <c r="D323" s="6" t="n"/>
      <c r="E323" s="6" t="inlineStr"/>
      <c r="F323" s="6" t="inlineStr"/>
    </row>
    <row r="324">
      <c r="A324" s="6" t="inlineStr">
        <is>
          <t>C09-14</t>
        </is>
      </c>
      <c r="B324" s="6" t="inlineStr">
        <is>
          <t>chatgpt</t>
        </is>
      </c>
      <c r="C324" s="6" t="inlineStr">
        <is>
          <t>REAL</t>
        </is>
      </c>
      <c r="D324" s="6" t="n"/>
      <c r="E324" s="6" t="inlineStr"/>
      <c r="F324" s="6" t="inlineStr"/>
    </row>
    <row r="325">
      <c r="A325" s="6" t="inlineStr">
        <is>
          <t>C09-15</t>
        </is>
      </c>
      <c r="B325" s="6" t="inlineStr">
        <is>
          <t>chatgpt</t>
        </is>
      </c>
      <c r="C325" s="6" t="inlineStr">
        <is>
          <t>REAL</t>
        </is>
      </c>
      <c r="D325" s="6" t="n"/>
      <c r="E325" s="6" t="inlineStr"/>
      <c r="F325" s="6" t="inlineStr"/>
    </row>
    <row r="326">
      <c r="A326" s="6" t="inlineStr">
        <is>
          <t>C09-16</t>
        </is>
      </c>
      <c r="B326" s="6" t="inlineStr">
        <is>
          <t>chatgpt</t>
        </is>
      </c>
      <c r="C326" s="6" t="inlineStr">
        <is>
          <t>REAL</t>
        </is>
      </c>
      <c r="D326" s="6" t="n"/>
      <c r="E326" s="6" t="inlineStr"/>
      <c r="F326" s="6" t="inlineStr"/>
    </row>
    <row r="327">
      <c r="A327" s="6" t="inlineStr">
        <is>
          <t>C09-17</t>
        </is>
      </c>
      <c r="B327" s="6" t="inlineStr">
        <is>
          <t>chatgpt</t>
        </is>
      </c>
      <c r="C327" s="6" t="inlineStr">
        <is>
          <t>REAL</t>
        </is>
      </c>
      <c r="D327" s="6" t="n"/>
      <c r="E327" s="6" t="inlineStr"/>
      <c r="F327" s="6" t="inlineStr"/>
    </row>
    <row r="328">
      <c r="A328" s="6" t="inlineStr">
        <is>
          <t>C09-18</t>
        </is>
      </c>
      <c r="B328" s="6" t="inlineStr">
        <is>
          <t>chatgpt</t>
        </is>
      </c>
      <c r="C328" s="6" t="inlineStr">
        <is>
          <t>REAL</t>
        </is>
      </c>
      <c r="D328" s="6" t="n"/>
      <c r="E328" s="6" t="inlineStr"/>
      <c r="F328" s="6" t="inlineStr"/>
    </row>
    <row r="329">
      <c r="A329" s="6" t="inlineStr">
        <is>
          <t>C09-19</t>
        </is>
      </c>
      <c r="B329" s="6" t="inlineStr">
        <is>
          <t>chatgpt</t>
        </is>
      </c>
      <c r="C329" s="6" t="inlineStr">
        <is>
          <t>REAL</t>
        </is>
      </c>
      <c r="D329" s="6" t="n"/>
      <c r="E329" s="6" t="inlineStr"/>
      <c r="F329" s="6" t="inlineStr"/>
    </row>
    <row r="330">
      <c r="A330" s="6" t="inlineStr">
        <is>
          <t>C09-20</t>
        </is>
      </c>
      <c r="B330" s="6" t="inlineStr">
        <is>
          <t>chatgpt</t>
        </is>
      </c>
      <c r="C330" s="6" t="inlineStr">
        <is>
          <t>REAL</t>
        </is>
      </c>
      <c r="D330" s="6" t="n"/>
      <c r="E330" s="6" t="inlineStr"/>
      <c r="F330" s="6" t="inlineStr"/>
    </row>
    <row r="331">
      <c r="A331" s="6" t="inlineStr">
        <is>
          <t>C09-21</t>
        </is>
      </c>
      <c r="B331" s="6" t="inlineStr">
        <is>
          <t>chatgpt</t>
        </is>
      </c>
      <c r="C331" s="6" t="inlineStr">
        <is>
          <t>REAL</t>
        </is>
      </c>
      <c r="D331" s="6" t="n"/>
      <c r="E331" s="6" t="inlineStr"/>
      <c r="F331" s="6" t="inlineStr"/>
    </row>
    <row r="332">
      <c r="A332" s="6" t="inlineStr">
        <is>
          <t>C09-22</t>
        </is>
      </c>
      <c r="B332" s="6" t="inlineStr">
        <is>
          <t>chatgpt</t>
        </is>
      </c>
      <c r="C332" s="6" t="inlineStr">
        <is>
          <t>REAL</t>
        </is>
      </c>
      <c r="D332" s="6" t="n"/>
      <c r="E332" s="6" t="inlineStr"/>
      <c r="F332" s="6" t="inlineStr"/>
    </row>
    <row r="333">
      <c r="A333" s="6" t="inlineStr">
        <is>
          <t>C09-23</t>
        </is>
      </c>
      <c r="B333" s="6" t="inlineStr">
        <is>
          <t>chatgpt</t>
        </is>
      </c>
      <c r="C333" s="6" t="inlineStr">
        <is>
          <t>REAL</t>
        </is>
      </c>
      <c r="D333" s="6" t="n"/>
      <c r="E333" s="6" t="inlineStr"/>
      <c r="F333" s="6" t="inlineStr"/>
    </row>
    <row r="334">
      <c r="A334" s="6" t="inlineStr">
        <is>
          <t>C09-24</t>
        </is>
      </c>
      <c r="B334" s="6" t="inlineStr">
        <is>
          <t>chatgpt</t>
        </is>
      </c>
      <c r="C334" s="6" t="inlineStr">
        <is>
          <t>REAL</t>
        </is>
      </c>
      <c r="D334" s="6" t="n"/>
      <c r="E334" s="6" t="inlineStr"/>
      <c r="F334" s="6" t="inlineStr"/>
    </row>
    <row r="335">
      <c r="A335" s="6" t="inlineStr">
        <is>
          <t>C09-25</t>
        </is>
      </c>
      <c r="B335" s="6" t="inlineStr">
        <is>
          <t>chatgpt</t>
        </is>
      </c>
      <c r="C335" s="6" t="inlineStr">
        <is>
          <t>REAL</t>
        </is>
      </c>
      <c r="D335" s="6" t="n"/>
      <c r="E335" s="6" t="inlineStr"/>
      <c r="F335" s="6" t="inlineStr"/>
    </row>
    <row r="336">
      <c r="A336" s="6" t="inlineStr">
        <is>
          <t>C09-26</t>
        </is>
      </c>
      <c r="B336" s="6" t="inlineStr">
        <is>
          <t>chatgpt</t>
        </is>
      </c>
      <c r="C336" s="6" t="inlineStr">
        <is>
          <t>REAL</t>
        </is>
      </c>
      <c r="D336" s="6" t="n"/>
      <c r="E336" s="6" t="inlineStr"/>
      <c r="F336" s="6" t="inlineStr"/>
    </row>
    <row r="337">
      <c r="A337" s="6" t="inlineStr">
        <is>
          <t>C09-27</t>
        </is>
      </c>
      <c r="B337" s="6" t="inlineStr">
        <is>
          <t>chatgpt</t>
        </is>
      </c>
      <c r="C337" s="6" t="inlineStr">
        <is>
          <t>REAL</t>
        </is>
      </c>
      <c r="D337" s="6" t="n"/>
      <c r="E337" s="6" t="inlineStr"/>
      <c r="F337" s="6" t="inlineStr"/>
    </row>
    <row r="338">
      <c r="A338" s="6" t="inlineStr">
        <is>
          <t>C09-28</t>
        </is>
      </c>
      <c r="B338" s="6" t="inlineStr">
        <is>
          <t>chatgpt</t>
        </is>
      </c>
      <c r="C338" s="6" t="inlineStr">
        <is>
          <t>REAL</t>
        </is>
      </c>
      <c r="D338" s="6" t="n"/>
      <c r="E338" s="6" t="inlineStr"/>
      <c r="F338" s="6" t="inlineStr"/>
    </row>
    <row r="339">
      <c r="A339" s="6" t="inlineStr">
        <is>
          <t>C09-29</t>
        </is>
      </c>
      <c r="B339" s="6" t="inlineStr">
        <is>
          <t>chatgpt</t>
        </is>
      </c>
      <c r="C339" s="6" t="inlineStr">
        <is>
          <t>REAL</t>
        </is>
      </c>
      <c r="D339" s="6" t="n"/>
      <c r="E339" s="6" t="inlineStr"/>
      <c r="F339" s="6" t="inlineStr"/>
    </row>
    <row r="340">
      <c r="A340" s="6" t="inlineStr">
        <is>
          <t>C09-30</t>
        </is>
      </c>
      <c r="B340" s="6" t="inlineStr">
        <is>
          <t>chatgpt</t>
        </is>
      </c>
      <c r="C340" s="6" t="inlineStr">
        <is>
          <t>REAL</t>
        </is>
      </c>
      <c r="D340" s="6" t="n"/>
      <c r="E340" s="6" t="inlineStr"/>
      <c r="F340" s="6" t="inlineStr"/>
    </row>
    <row r="341">
      <c r="A341" s="6" t="inlineStr">
        <is>
          <t>C09-31</t>
        </is>
      </c>
      <c r="B341" s="6" t="inlineStr">
        <is>
          <t>chatgpt</t>
        </is>
      </c>
      <c r="C341" s="6" t="inlineStr">
        <is>
          <t>REAL</t>
        </is>
      </c>
      <c r="D341" s="6" t="n"/>
      <c r="E341" s="6" t="inlineStr"/>
      <c r="F341" s="6" t="inlineStr"/>
    </row>
    <row r="342">
      <c r="A342" s="6" t="inlineStr">
        <is>
          <t>C09-32</t>
        </is>
      </c>
      <c r="B342" s="6" t="inlineStr">
        <is>
          <t>chatgpt</t>
        </is>
      </c>
      <c r="C342" s="6" t="inlineStr">
        <is>
          <t>REAL</t>
        </is>
      </c>
      <c r="D342" s="6" t="n"/>
      <c r="E342" s="6" t="inlineStr"/>
      <c r="F342" s="6" t="inlineStr"/>
    </row>
    <row r="343">
      <c r="A343" s="6" t="inlineStr">
        <is>
          <t>C09-33</t>
        </is>
      </c>
      <c r="B343" s="6" t="inlineStr">
        <is>
          <t>chatgpt</t>
        </is>
      </c>
      <c r="C343" s="6" t="inlineStr">
        <is>
          <t>REAL</t>
        </is>
      </c>
      <c r="D343" s="6" t="n"/>
      <c r="E343" s="6" t="inlineStr"/>
      <c r="F343" s="6" t="inlineStr"/>
    </row>
    <row r="344">
      <c r="A344" s="6" t="inlineStr">
        <is>
          <t>C10-01</t>
        </is>
      </c>
      <c r="B344" s="6" t="inlineStr">
        <is>
          <t>chatgpt</t>
        </is>
      </c>
      <c r="C344" s="6" t="inlineStr">
        <is>
          <t>REAL</t>
        </is>
      </c>
      <c r="D344" s="6" t="n"/>
      <c r="E344" s="6" t="inlineStr"/>
      <c r="F344" s="6" t="inlineStr"/>
    </row>
    <row r="345">
      <c r="A345" s="6" t="inlineStr">
        <is>
          <t>C10-02</t>
        </is>
      </c>
      <c r="B345" s="6" t="inlineStr">
        <is>
          <t>chatgpt</t>
        </is>
      </c>
      <c r="C345" s="6" t="inlineStr">
        <is>
          <t>REAL</t>
        </is>
      </c>
      <c r="D345" s="6" t="n"/>
      <c r="E345" s="6" t="inlineStr"/>
      <c r="F345" s="6" t="inlineStr"/>
    </row>
    <row r="346">
      <c r="A346" s="6" t="inlineStr">
        <is>
          <t>C10-03</t>
        </is>
      </c>
      <c r="B346" s="6" t="inlineStr">
        <is>
          <t>chatgpt</t>
        </is>
      </c>
      <c r="C346" s="6" t="inlineStr">
        <is>
          <t>REAL</t>
        </is>
      </c>
      <c r="D346" s="6" t="n"/>
      <c r="E346" s="6" t="inlineStr"/>
      <c r="F346" s="6" t="inlineStr"/>
    </row>
    <row r="347">
      <c r="A347" s="6" t="inlineStr">
        <is>
          <t>C10-04</t>
        </is>
      </c>
      <c r="B347" s="6" t="inlineStr">
        <is>
          <t>chatgpt</t>
        </is>
      </c>
      <c r="C347" s="6" t="inlineStr">
        <is>
          <t>REAL</t>
        </is>
      </c>
      <c r="D347" s="6" t="n"/>
      <c r="E347" s="6" t="inlineStr"/>
      <c r="F347" s="6" t="inlineStr"/>
    </row>
    <row r="348">
      <c r="A348" s="6" t="inlineStr">
        <is>
          <t>C10-05</t>
        </is>
      </c>
      <c r="B348" s="6" t="inlineStr">
        <is>
          <t>chatgpt</t>
        </is>
      </c>
      <c r="C348" s="6" t="inlineStr">
        <is>
          <t>REAL</t>
        </is>
      </c>
      <c r="D348" s="6" t="n"/>
      <c r="E348" s="6" t="inlineStr"/>
      <c r="F348" s="6" t="inlineStr"/>
    </row>
    <row r="349">
      <c r="A349" s="6" t="inlineStr">
        <is>
          <t>C10-06</t>
        </is>
      </c>
      <c r="B349" s="6" t="inlineStr">
        <is>
          <t>chatgpt</t>
        </is>
      </c>
      <c r="C349" s="6" t="inlineStr">
        <is>
          <t>REAL</t>
        </is>
      </c>
      <c r="D349" s="6" t="n"/>
      <c r="E349" s="6" t="inlineStr"/>
      <c r="F349" s="6" t="inlineStr"/>
    </row>
    <row r="350">
      <c r="A350" s="6" t="inlineStr">
        <is>
          <t>C10-07</t>
        </is>
      </c>
      <c r="B350" s="6" t="inlineStr">
        <is>
          <t>chatgpt</t>
        </is>
      </c>
      <c r="C350" s="6" t="inlineStr">
        <is>
          <t>REAL</t>
        </is>
      </c>
      <c r="D350" s="6" t="n"/>
      <c r="E350" s="6" t="inlineStr"/>
      <c r="F350" s="6" t="inlineStr"/>
    </row>
    <row r="351">
      <c r="A351" s="6" t="inlineStr">
        <is>
          <t>C10-08</t>
        </is>
      </c>
      <c r="B351" s="6" t="inlineStr">
        <is>
          <t>chatgpt</t>
        </is>
      </c>
      <c r="C351" s="6" t="inlineStr">
        <is>
          <t>REAL</t>
        </is>
      </c>
      <c r="D351" s="6" t="n"/>
      <c r="E351" s="6" t="inlineStr"/>
      <c r="F351" s="6" t="inlineStr"/>
    </row>
    <row r="352">
      <c r="A352" s="6" t="inlineStr">
        <is>
          <t>C10-09</t>
        </is>
      </c>
      <c r="B352" s="6" t="inlineStr">
        <is>
          <t>chatgpt</t>
        </is>
      </c>
      <c r="C352" s="6" t="inlineStr">
        <is>
          <t>REAL</t>
        </is>
      </c>
      <c r="D352" s="6" t="n"/>
      <c r="E352" s="6" t="inlineStr"/>
      <c r="F352" s="6" t="inlineStr"/>
    </row>
    <row r="353">
      <c r="A353" s="6" t="inlineStr">
        <is>
          <t>C10-10</t>
        </is>
      </c>
      <c r="B353" s="6" t="inlineStr">
        <is>
          <t>chatgpt</t>
        </is>
      </c>
      <c r="C353" s="6" t="inlineStr">
        <is>
          <t>REAL</t>
        </is>
      </c>
      <c r="D353" s="6" t="n"/>
      <c r="E353" s="6" t="inlineStr"/>
      <c r="F353" s="6" t="inlineStr"/>
    </row>
    <row r="354">
      <c r="A354" s="6" t="inlineStr">
        <is>
          <t>C10-11</t>
        </is>
      </c>
      <c r="B354" s="6" t="inlineStr">
        <is>
          <t>chatgpt</t>
        </is>
      </c>
      <c r="C354" s="6" t="inlineStr">
        <is>
          <t>REAL</t>
        </is>
      </c>
      <c r="D354" s="6" t="n"/>
      <c r="E354" s="6" t="inlineStr"/>
      <c r="F354" s="6" t="inlineStr"/>
    </row>
    <row r="355">
      <c r="A355" s="6" t="inlineStr">
        <is>
          <t>C10-12</t>
        </is>
      </c>
      <c r="B355" s="6" t="inlineStr">
        <is>
          <t>chatgpt</t>
        </is>
      </c>
      <c r="C355" s="6" t="inlineStr">
        <is>
          <t>REAL</t>
        </is>
      </c>
      <c r="D355" s="6" t="n"/>
      <c r="E355" s="6" t="inlineStr"/>
      <c r="F355" s="6" t="inlineStr"/>
    </row>
    <row r="356">
      <c r="A356" s="6" t="inlineStr">
        <is>
          <t>C10-13</t>
        </is>
      </c>
      <c r="B356" s="6" t="inlineStr">
        <is>
          <t>chatgpt</t>
        </is>
      </c>
      <c r="C356" s="6" t="inlineStr">
        <is>
          <t>REAL</t>
        </is>
      </c>
      <c r="D356" s="6" t="n"/>
      <c r="E356" s="6" t="inlineStr"/>
      <c r="F356" s="6" t="inlineStr"/>
    </row>
    <row r="357">
      <c r="A357" s="6" t="inlineStr">
        <is>
          <t>C10-14</t>
        </is>
      </c>
      <c r="B357" s="6" t="inlineStr">
        <is>
          <t>chatgpt</t>
        </is>
      </c>
      <c r="C357" s="6" t="inlineStr">
        <is>
          <t>REAL</t>
        </is>
      </c>
      <c r="D357" s="6" t="n"/>
      <c r="E357" s="6" t="inlineStr"/>
      <c r="F357" s="6" t="inlineStr"/>
    </row>
    <row r="358">
      <c r="A358" s="6" t="inlineStr">
        <is>
          <t>C10-15</t>
        </is>
      </c>
      <c r="B358" s="6" t="inlineStr">
        <is>
          <t>chatgpt</t>
        </is>
      </c>
      <c r="C358" s="6" t="inlineStr">
        <is>
          <t>REAL</t>
        </is>
      </c>
      <c r="D358" s="6" t="n"/>
      <c r="E358" s="6" t="inlineStr"/>
      <c r="F358" s="6" t="inlineStr"/>
    </row>
    <row r="359">
      <c r="A359" s="6" t="inlineStr">
        <is>
          <t>C10-16</t>
        </is>
      </c>
      <c r="B359" s="6" t="inlineStr">
        <is>
          <t>chatgpt</t>
        </is>
      </c>
      <c r="C359" s="6" t="inlineStr">
        <is>
          <t>REAL</t>
        </is>
      </c>
      <c r="D359" s="6" t="n"/>
      <c r="E359" s="6" t="inlineStr"/>
      <c r="F359" s="6" t="inlineStr"/>
    </row>
    <row r="360">
      <c r="A360" s="6" t="inlineStr">
        <is>
          <t>C10-17</t>
        </is>
      </c>
      <c r="B360" s="6" t="inlineStr">
        <is>
          <t>chatgpt</t>
        </is>
      </c>
      <c r="C360" s="6" t="inlineStr">
        <is>
          <t>REAL</t>
        </is>
      </c>
      <c r="D360" s="6" t="n"/>
      <c r="E360" s="6" t="inlineStr"/>
      <c r="F360" s="6" t="inlineStr"/>
    </row>
    <row r="361">
      <c r="A361" s="6" t="inlineStr">
        <is>
          <t>C10-18</t>
        </is>
      </c>
      <c r="B361" s="6" t="inlineStr">
        <is>
          <t>chatgpt</t>
        </is>
      </c>
      <c r="C361" s="6" t="inlineStr">
        <is>
          <t>REAL</t>
        </is>
      </c>
      <c r="D361" s="6" t="n"/>
      <c r="E361" s="6" t="inlineStr"/>
      <c r="F361" s="6" t="inlineStr"/>
    </row>
    <row r="362">
      <c r="A362" s="6" t="inlineStr">
        <is>
          <t>C10-19</t>
        </is>
      </c>
      <c r="B362" s="6" t="inlineStr">
        <is>
          <t>chatgpt</t>
        </is>
      </c>
      <c r="C362" s="6" t="inlineStr">
        <is>
          <t>REAL</t>
        </is>
      </c>
      <c r="D362" s="6" t="n"/>
      <c r="E362" s="6" t="inlineStr"/>
      <c r="F362" s="6" t="inlineStr"/>
    </row>
    <row r="363">
      <c r="A363" s="6" t="inlineStr">
        <is>
          <t>C10-20</t>
        </is>
      </c>
      <c r="B363" s="6" t="inlineStr">
        <is>
          <t>chatgpt</t>
        </is>
      </c>
      <c r="C363" s="6" t="inlineStr">
        <is>
          <t>REAL</t>
        </is>
      </c>
      <c r="D363" s="6" t="n"/>
      <c r="E363" s="6" t="inlineStr"/>
      <c r="F363" s="6" t="inlineStr"/>
    </row>
    <row r="364">
      <c r="A364" s="6" t="inlineStr">
        <is>
          <t>C10-21</t>
        </is>
      </c>
      <c r="B364" s="6" t="inlineStr">
        <is>
          <t>chatgpt</t>
        </is>
      </c>
      <c r="C364" s="6" t="inlineStr">
        <is>
          <t>REAL</t>
        </is>
      </c>
      <c r="D364" s="6" t="n"/>
      <c r="E364" s="6" t="inlineStr"/>
      <c r="F364" s="6" t="inlineStr"/>
    </row>
    <row r="365">
      <c r="A365" s="6" t="inlineStr">
        <is>
          <t>C10-22</t>
        </is>
      </c>
      <c r="B365" s="6" t="inlineStr">
        <is>
          <t>chatgpt</t>
        </is>
      </c>
      <c r="C365" s="6" t="inlineStr">
        <is>
          <t>REAL</t>
        </is>
      </c>
      <c r="D365" s="6" t="n"/>
      <c r="E365" s="6" t="inlineStr"/>
      <c r="F365" s="6" t="inlineStr"/>
    </row>
    <row r="366">
      <c r="A366" s="6" t="inlineStr">
        <is>
          <t>C10-23</t>
        </is>
      </c>
      <c r="B366" s="6" t="inlineStr">
        <is>
          <t>chatgpt</t>
        </is>
      </c>
      <c r="C366" s="6" t="inlineStr">
        <is>
          <t>REAL</t>
        </is>
      </c>
      <c r="D366" s="6" t="n"/>
      <c r="E366" s="6" t="inlineStr"/>
      <c r="F366" s="6" t="inlineStr"/>
    </row>
    <row r="367">
      <c r="A367" s="6" t="inlineStr">
        <is>
          <t>C10-24</t>
        </is>
      </c>
      <c r="B367" s="6" t="inlineStr">
        <is>
          <t>chatgpt</t>
        </is>
      </c>
      <c r="C367" s="6" t="inlineStr">
        <is>
          <t>REAL</t>
        </is>
      </c>
      <c r="D367" s="6" t="n"/>
      <c r="E367" s="6" t="inlineStr"/>
      <c r="F367" s="6" t="inlineStr"/>
    </row>
    <row r="368">
      <c r="A368" s="6" t="inlineStr">
        <is>
          <t>C10-25</t>
        </is>
      </c>
      <c r="B368" s="6" t="inlineStr">
        <is>
          <t>chatgpt</t>
        </is>
      </c>
      <c r="C368" s="6" t="inlineStr">
        <is>
          <t>REAL</t>
        </is>
      </c>
      <c r="D368" s="6" t="n"/>
      <c r="E368" s="6" t="inlineStr"/>
      <c r="F368" s="6" t="inlineStr"/>
    </row>
    <row r="369">
      <c r="A369" s="6" t="inlineStr">
        <is>
          <t>C10-26</t>
        </is>
      </c>
      <c r="B369" s="6" t="inlineStr">
        <is>
          <t>chatgpt</t>
        </is>
      </c>
      <c r="C369" s="6" t="inlineStr">
        <is>
          <t>REAL</t>
        </is>
      </c>
      <c r="D369" s="6" t="n"/>
      <c r="E369" s="6" t="inlineStr"/>
      <c r="F369" s="6" t="inlineStr"/>
    </row>
    <row r="370">
      <c r="A370" s="6" t="inlineStr">
        <is>
          <t>C10-27</t>
        </is>
      </c>
      <c r="B370" s="6" t="inlineStr">
        <is>
          <t>chatgpt</t>
        </is>
      </c>
      <c r="C370" s="6" t="inlineStr">
        <is>
          <t>REAL</t>
        </is>
      </c>
      <c r="D370" s="6" t="n"/>
      <c r="E370" s="6" t="inlineStr"/>
      <c r="F370" s="6" t="inlineStr"/>
    </row>
    <row r="371">
      <c r="A371" s="6" t="inlineStr">
        <is>
          <t>C10-28</t>
        </is>
      </c>
      <c r="B371" s="6" t="inlineStr">
        <is>
          <t>chatgpt</t>
        </is>
      </c>
      <c r="C371" s="6" t="inlineStr">
        <is>
          <t>REAL</t>
        </is>
      </c>
      <c r="D371" s="6" t="n"/>
      <c r="E371" s="6" t="inlineStr"/>
      <c r="F371" s="6" t="inlineStr"/>
    </row>
    <row r="372">
      <c r="A372" s="6" t="inlineStr">
        <is>
          <t>C10-29</t>
        </is>
      </c>
      <c r="B372" s="6" t="inlineStr">
        <is>
          <t>chatgpt</t>
        </is>
      </c>
      <c r="C372" s="6" t="inlineStr">
        <is>
          <t>REAL</t>
        </is>
      </c>
      <c r="D372" s="6" t="n"/>
      <c r="E372" s="6" t="inlineStr"/>
      <c r="F372" s="6" t="inlineStr"/>
    </row>
    <row r="373">
      <c r="A373" s="6" t="inlineStr">
        <is>
          <t>C10-30</t>
        </is>
      </c>
      <c r="B373" s="6" t="inlineStr">
        <is>
          <t>chatgpt</t>
        </is>
      </c>
      <c r="C373" s="6" t="inlineStr">
        <is>
          <t>REAL</t>
        </is>
      </c>
      <c r="D373" s="6" t="n"/>
      <c r="E373" s="6" t="inlineStr"/>
      <c r="F373" s="6" t="inlineStr"/>
    </row>
    <row r="374">
      <c r="A374" s="6" t="inlineStr">
        <is>
          <t>C10-31</t>
        </is>
      </c>
      <c r="B374" s="6" t="inlineStr">
        <is>
          <t>chatgpt</t>
        </is>
      </c>
      <c r="C374" s="6" t="inlineStr">
        <is>
          <t>REAL</t>
        </is>
      </c>
      <c r="D374" s="6" t="n"/>
      <c r="E374" s="6" t="inlineStr"/>
      <c r="F374" s="6" t="inlineStr"/>
    </row>
    <row r="375">
      <c r="A375" s="6" t="inlineStr">
        <is>
          <t>C10-32</t>
        </is>
      </c>
      <c r="B375" s="6" t="inlineStr">
        <is>
          <t>chatgpt</t>
        </is>
      </c>
      <c r="C375" s="6" t="inlineStr">
        <is>
          <t>REAL</t>
        </is>
      </c>
      <c r="D375" s="6" t="n"/>
      <c r="E375" s="6" t="inlineStr"/>
      <c r="F375" s="6" t="inlineStr"/>
    </row>
    <row r="376">
      <c r="A376" s="6" t="inlineStr">
        <is>
          <t>C10-33</t>
        </is>
      </c>
      <c r="B376" s="6" t="inlineStr">
        <is>
          <t>chatgpt</t>
        </is>
      </c>
      <c r="C376" s="6" t="inlineStr">
        <is>
          <t>REAL</t>
        </is>
      </c>
      <c r="D376" s="6" t="n"/>
      <c r="E376" s="6" t="inlineStr"/>
      <c r="F376" s="6" t="inlineStr"/>
    </row>
    <row r="377">
      <c r="A377" s="6" t="inlineStr">
        <is>
          <t>C11-01</t>
        </is>
      </c>
      <c r="B377" s="6" t="inlineStr">
        <is>
          <t>chatgpt</t>
        </is>
      </c>
      <c r="C377" s="6" t="inlineStr">
        <is>
          <t>REAL</t>
        </is>
      </c>
      <c r="D377" s="6" t="n"/>
      <c r="E377" s="6" t="inlineStr"/>
      <c r="F377" s="6" t="inlineStr"/>
    </row>
    <row r="378">
      <c r="A378" s="6" t="inlineStr">
        <is>
          <t>C11-02</t>
        </is>
      </c>
      <c r="B378" s="6" t="inlineStr">
        <is>
          <t>chatgpt</t>
        </is>
      </c>
      <c r="C378" s="6" t="inlineStr">
        <is>
          <t>REAL</t>
        </is>
      </c>
      <c r="D378" s="6" t="n"/>
      <c r="E378" s="6" t="inlineStr"/>
      <c r="F378" s="6" t="inlineStr"/>
    </row>
    <row r="379">
      <c r="A379" s="6" t="inlineStr">
        <is>
          <t>C11-03</t>
        </is>
      </c>
      <c r="B379" s="6" t="inlineStr">
        <is>
          <t>chatgpt</t>
        </is>
      </c>
      <c r="C379" s="6" t="inlineStr">
        <is>
          <t>REAL</t>
        </is>
      </c>
      <c r="D379" s="6" t="n"/>
      <c r="E379" s="6" t="inlineStr"/>
      <c r="F379" s="6" t="inlineStr"/>
    </row>
    <row r="380">
      <c r="A380" s="6" t="inlineStr">
        <is>
          <t>C11-04</t>
        </is>
      </c>
      <c r="B380" s="6" t="inlineStr">
        <is>
          <t>chatgpt</t>
        </is>
      </c>
      <c r="C380" s="6" t="inlineStr">
        <is>
          <t>REAL</t>
        </is>
      </c>
      <c r="D380" s="6" t="n"/>
      <c r="E380" s="6" t="inlineStr"/>
      <c r="F380" s="6" t="inlineStr"/>
    </row>
    <row r="381">
      <c r="A381" s="6" t="inlineStr">
        <is>
          <t>C11-05</t>
        </is>
      </c>
      <c r="B381" s="6" t="inlineStr">
        <is>
          <t>chatgpt</t>
        </is>
      </c>
      <c r="C381" s="6" t="inlineStr">
        <is>
          <t>REAL</t>
        </is>
      </c>
      <c r="D381" s="6" t="n"/>
      <c r="E381" s="6" t="inlineStr"/>
      <c r="F381" s="6" t="inlineStr"/>
    </row>
    <row r="382">
      <c r="A382" s="6" t="inlineStr">
        <is>
          <t>C11-06</t>
        </is>
      </c>
      <c r="B382" s="6" t="inlineStr">
        <is>
          <t>chatgpt</t>
        </is>
      </c>
      <c r="C382" s="6" t="inlineStr">
        <is>
          <t>REAL</t>
        </is>
      </c>
      <c r="D382" s="6" t="n"/>
      <c r="E382" s="6" t="inlineStr"/>
      <c r="F382" s="6" t="inlineStr"/>
    </row>
    <row r="383">
      <c r="A383" s="6" t="inlineStr">
        <is>
          <t>C11-07</t>
        </is>
      </c>
      <c r="B383" s="6" t="inlineStr">
        <is>
          <t>chatgpt</t>
        </is>
      </c>
      <c r="C383" s="6" t="inlineStr">
        <is>
          <t>REAL</t>
        </is>
      </c>
      <c r="D383" s="6" t="n"/>
      <c r="E383" s="6" t="inlineStr"/>
      <c r="F383" s="6" t="inlineStr"/>
    </row>
    <row r="384">
      <c r="A384" s="6" t="inlineStr">
        <is>
          <t>C11-08</t>
        </is>
      </c>
      <c r="B384" s="6" t="inlineStr">
        <is>
          <t>chatgpt</t>
        </is>
      </c>
      <c r="C384" s="6" t="inlineStr">
        <is>
          <t>REAL</t>
        </is>
      </c>
      <c r="D384" s="6" t="n"/>
      <c r="E384" s="6" t="inlineStr"/>
      <c r="F384" s="6" t="inlineStr"/>
    </row>
    <row r="385">
      <c r="A385" s="6" t="inlineStr">
        <is>
          <t>C11-09</t>
        </is>
      </c>
      <c r="B385" s="6" t="inlineStr">
        <is>
          <t>chatgpt</t>
        </is>
      </c>
      <c r="C385" s="6" t="inlineStr">
        <is>
          <t>REAL</t>
        </is>
      </c>
      <c r="D385" s="6" t="n"/>
      <c r="E385" s="6" t="inlineStr"/>
      <c r="F385" s="6" t="inlineStr"/>
    </row>
    <row r="386">
      <c r="A386" s="6" t="inlineStr">
        <is>
          <t>C11-10</t>
        </is>
      </c>
      <c r="B386" s="6" t="inlineStr">
        <is>
          <t>chatgpt</t>
        </is>
      </c>
      <c r="C386" s="6" t="inlineStr">
        <is>
          <t>REAL</t>
        </is>
      </c>
      <c r="D386" s="6" t="n"/>
      <c r="E386" s="6" t="inlineStr"/>
      <c r="F386" s="6" t="inlineStr"/>
    </row>
    <row r="387">
      <c r="A387" s="6" t="inlineStr">
        <is>
          <t>C11-11</t>
        </is>
      </c>
      <c r="B387" s="6" t="inlineStr">
        <is>
          <t>chatgpt</t>
        </is>
      </c>
      <c r="C387" s="6" t="inlineStr">
        <is>
          <t>REAL</t>
        </is>
      </c>
      <c r="D387" s="6" t="n"/>
      <c r="E387" s="6" t="inlineStr"/>
      <c r="F387" s="6" t="inlineStr"/>
    </row>
    <row r="388">
      <c r="A388" s="6" t="inlineStr">
        <is>
          <t>C11-12</t>
        </is>
      </c>
      <c r="B388" s="6" t="inlineStr">
        <is>
          <t>chatgpt</t>
        </is>
      </c>
      <c r="C388" s="6" t="inlineStr">
        <is>
          <t>REAL</t>
        </is>
      </c>
      <c r="D388" s="6" t="n"/>
      <c r="E388" s="6" t="inlineStr"/>
      <c r="F388" s="6" t="inlineStr"/>
    </row>
    <row r="389">
      <c r="A389" s="6" t="inlineStr">
        <is>
          <t>C11-13</t>
        </is>
      </c>
      <c r="B389" s="6" t="inlineStr">
        <is>
          <t>chatgpt</t>
        </is>
      </c>
      <c r="C389" s="6" t="inlineStr">
        <is>
          <t>REAL</t>
        </is>
      </c>
      <c r="D389" s="6" t="n"/>
      <c r="E389" s="6" t="inlineStr"/>
      <c r="F389" s="6" t="inlineStr"/>
    </row>
    <row r="390">
      <c r="A390" s="6" t="inlineStr">
        <is>
          <t>C11-14</t>
        </is>
      </c>
      <c r="B390" s="6" t="inlineStr">
        <is>
          <t>chatgpt</t>
        </is>
      </c>
      <c r="C390" s="6" t="inlineStr">
        <is>
          <t>REAL</t>
        </is>
      </c>
      <c r="D390" s="6" t="n"/>
      <c r="E390" s="6" t="inlineStr"/>
      <c r="F390" s="6" t="inlineStr"/>
    </row>
    <row r="391">
      <c r="A391" s="6" t="inlineStr">
        <is>
          <t>C11-15</t>
        </is>
      </c>
      <c r="B391" s="6" t="inlineStr">
        <is>
          <t>chatgpt</t>
        </is>
      </c>
      <c r="C391" s="6" t="inlineStr">
        <is>
          <t>REAL</t>
        </is>
      </c>
      <c r="D391" s="6" t="n"/>
      <c r="E391" s="6" t="inlineStr"/>
      <c r="F391" s="6" t="inlineStr"/>
    </row>
    <row r="392">
      <c r="A392" s="6" t="inlineStr">
        <is>
          <t>C11-16</t>
        </is>
      </c>
      <c r="B392" s="6" t="inlineStr">
        <is>
          <t>chatgpt</t>
        </is>
      </c>
      <c r="C392" s="6" t="inlineStr">
        <is>
          <t>REAL</t>
        </is>
      </c>
      <c r="D392" s="6" t="n"/>
      <c r="E392" s="6" t="inlineStr"/>
      <c r="F392" s="6" t="inlineStr"/>
    </row>
    <row r="393">
      <c r="A393" s="6" t="inlineStr">
        <is>
          <t>C11-17</t>
        </is>
      </c>
      <c r="B393" s="6" t="inlineStr">
        <is>
          <t>chatgpt</t>
        </is>
      </c>
      <c r="C393" s="6" t="inlineStr">
        <is>
          <t>REAL</t>
        </is>
      </c>
      <c r="D393" s="6" t="n"/>
      <c r="E393" s="6" t="inlineStr"/>
      <c r="F393" s="6" t="inlineStr"/>
    </row>
    <row r="394">
      <c r="A394" s="6" t="inlineStr">
        <is>
          <t>C11-18</t>
        </is>
      </c>
      <c r="B394" s="6" t="inlineStr">
        <is>
          <t>chatgpt</t>
        </is>
      </c>
      <c r="C394" s="6" t="inlineStr">
        <is>
          <t>REAL</t>
        </is>
      </c>
      <c r="D394" s="6" t="n"/>
      <c r="E394" s="6" t="inlineStr"/>
      <c r="F394" s="6" t="inlineStr"/>
    </row>
    <row r="395">
      <c r="A395" s="6" t="inlineStr">
        <is>
          <t>C11-19</t>
        </is>
      </c>
      <c r="B395" s="6" t="inlineStr">
        <is>
          <t>chatgpt</t>
        </is>
      </c>
      <c r="C395" s="6" t="inlineStr">
        <is>
          <t>REAL</t>
        </is>
      </c>
      <c r="D395" s="6" t="n"/>
      <c r="E395" s="6" t="inlineStr"/>
      <c r="F395" s="6" t="inlineStr"/>
    </row>
    <row r="396">
      <c r="A396" s="6" t="inlineStr">
        <is>
          <t>C11-20</t>
        </is>
      </c>
      <c r="B396" s="6" t="inlineStr">
        <is>
          <t>chatgpt</t>
        </is>
      </c>
      <c r="C396" s="6" t="inlineStr">
        <is>
          <t>REAL</t>
        </is>
      </c>
      <c r="D396" s="6" t="n"/>
      <c r="E396" s="6" t="inlineStr"/>
      <c r="F396" s="6" t="inlineStr"/>
    </row>
    <row r="397">
      <c r="A397" s="6" t="inlineStr">
        <is>
          <t>C12-01</t>
        </is>
      </c>
      <c r="B397" s="6" t="inlineStr">
        <is>
          <t>chatgpt</t>
        </is>
      </c>
      <c r="C397" s="6" t="inlineStr">
        <is>
          <t>REAL</t>
        </is>
      </c>
      <c r="D397" s="6" t="n"/>
      <c r="E397" s="6" t="inlineStr"/>
      <c r="F397" s="6" t="inlineStr"/>
    </row>
    <row r="398">
      <c r="A398" s="6" t="inlineStr">
        <is>
          <t>C12-02</t>
        </is>
      </c>
      <c r="B398" s="6" t="inlineStr">
        <is>
          <t>chatgpt</t>
        </is>
      </c>
      <c r="C398" s="6" t="inlineStr">
        <is>
          <t>REAL</t>
        </is>
      </c>
      <c r="D398" s="6" t="n"/>
      <c r="E398" s="6" t="inlineStr"/>
      <c r="F398" s="6" t="inlineStr"/>
    </row>
    <row r="399">
      <c r="A399" s="6" t="inlineStr">
        <is>
          <t>C12-03</t>
        </is>
      </c>
      <c r="B399" s="6" t="inlineStr">
        <is>
          <t>chatgpt</t>
        </is>
      </c>
      <c r="C399" s="6" t="inlineStr">
        <is>
          <t>REAL</t>
        </is>
      </c>
      <c r="D399" s="6" t="n"/>
      <c r="E399" s="6" t="inlineStr"/>
      <c r="F399" s="6" t="inlineStr"/>
    </row>
    <row r="400">
      <c r="A400" s="6" t="inlineStr">
        <is>
          <t>C12-04</t>
        </is>
      </c>
      <c r="B400" s="6" t="inlineStr">
        <is>
          <t>chatgpt</t>
        </is>
      </c>
      <c r="C400" s="6" t="inlineStr">
        <is>
          <t>REAL</t>
        </is>
      </c>
      <c r="D400" s="6" t="n"/>
      <c r="E400" s="6" t="inlineStr"/>
      <c r="F400" s="6" t="inlineStr"/>
    </row>
    <row r="401">
      <c r="A401" s="6" t="inlineStr">
        <is>
          <t>C12-05</t>
        </is>
      </c>
      <c r="B401" s="6" t="inlineStr">
        <is>
          <t>chatgpt</t>
        </is>
      </c>
      <c r="C401" s="6" t="inlineStr">
        <is>
          <t>REAL</t>
        </is>
      </c>
      <c r="D401" s="6" t="n"/>
      <c r="E401" s="6" t="inlineStr"/>
      <c r="F401" s="6" t="inlineStr"/>
    </row>
    <row r="402">
      <c r="A402" s="6" t="inlineStr">
        <is>
          <t>C12-06</t>
        </is>
      </c>
      <c r="B402" s="6" t="inlineStr">
        <is>
          <t>chatgpt</t>
        </is>
      </c>
      <c r="C402" s="6" t="inlineStr">
        <is>
          <t>REAL</t>
        </is>
      </c>
      <c r="D402" s="6" t="n"/>
      <c r="E402" s="6" t="inlineStr"/>
      <c r="F402" s="6" t="inlineStr"/>
    </row>
    <row r="403">
      <c r="A403" s="6" t="inlineStr">
        <is>
          <t>C12-07</t>
        </is>
      </c>
      <c r="B403" s="6" t="inlineStr">
        <is>
          <t>chatgpt</t>
        </is>
      </c>
      <c r="C403" s="6" t="inlineStr">
        <is>
          <t>REAL</t>
        </is>
      </c>
      <c r="D403" s="6" t="n"/>
      <c r="E403" s="6" t="inlineStr"/>
      <c r="F403" s="6" t="inlineStr"/>
    </row>
    <row r="404">
      <c r="A404" s="6" t="inlineStr">
        <is>
          <t>C12-08</t>
        </is>
      </c>
      <c r="B404" s="6" t="inlineStr">
        <is>
          <t>chatgpt</t>
        </is>
      </c>
      <c r="C404" s="6" t="inlineStr">
        <is>
          <t>REAL</t>
        </is>
      </c>
      <c r="D404" s="6" t="n"/>
      <c r="E404" s="6" t="inlineStr"/>
      <c r="F404" s="6" t="inlineStr"/>
    </row>
    <row r="405">
      <c r="A405" s="6" t="inlineStr">
        <is>
          <t>C12-09</t>
        </is>
      </c>
      <c r="B405" s="6" t="inlineStr">
        <is>
          <t>chatgpt</t>
        </is>
      </c>
      <c r="C405" s="6" t="inlineStr">
        <is>
          <t>REAL</t>
        </is>
      </c>
      <c r="D405" s="6" t="n"/>
      <c r="E405" s="6" t="inlineStr"/>
      <c r="F405" s="6" t="inlineStr"/>
    </row>
    <row r="406">
      <c r="A406" s="6" t="inlineStr">
        <is>
          <t>C12-10</t>
        </is>
      </c>
      <c r="B406" s="6" t="inlineStr">
        <is>
          <t>chatgpt</t>
        </is>
      </c>
      <c r="C406" s="6" t="inlineStr">
        <is>
          <t>REAL</t>
        </is>
      </c>
      <c r="D406" s="6" t="n"/>
      <c r="E406" s="6" t="inlineStr"/>
      <c r="F406" s="6" t="inlineStr"/>
    </row>
    <row r="407">
      <c r="A407" s="6" t="inlineStr">
        <is>
          <t>C12-11</t>
        </is>
      </c>
      <c r="B407" s="6" t="inlineStr">
        <is>
          <t>chatgpt</t>
        </is>
      </c>
      <c r="C407" s="6" t="inlineStr">
        <is>
          <t>REAL</t>
        </is>
      </c>
      <c r="D407" s="6" t="n"/>
      <c r="E407" s="6" t="inlineStr"/>
      <c r="F407" s="6" t="inlineStr"/>
    </row>
    <row r="408">
      <c r="A408" s="6" t="inlineStr">
        <is>
          <t>C12-12</t>
        </is>
      </c>
      <c r="B408" s="6" t="inlineStr">
        <is>
          <t>chatgpt</t>
        </is>
      </c>
      <c r="C408" s="6" t="inlineStr">
        <is>
          <t>REAL</t>
        </is>
      </c>
      <c r="D408" s="6" t="n"/>
      <c r="E408" s="6" t="inlineStr"/>
      <c r="F408" s="6" t="inlineStr"/>
    </row>
    <row r="409">
      <c r="A409" s="6" t="inlineStr">
        <is>
          <t>C12-13</t>
        </is>
      </c>
      <c r="B409" s="6" t="inlineStr">
        <is>
          <t>chatgpt</t>
        </is>
      </c>
      <c r="C409" s="6" t="inlineStr">
        <is>
          <t>REAL</t>
        </is>
      </c>
      <c r="D409" s="6" t="n"/>
      <c r="E409" s="6" t="inlineStr"/>
      <c r="F409" s="6" t="inlineStr"/>
    </row>
    <row r="410">
      <c r="A410" s="6" t="inlineStr">
        <is>
          <t>C12-14</t>
        </is>
      </c>
      <c r="B410" s="6" t="inlineStr">
        <is>
          <t>chatgpt</t>
        </is>
      </c>
      <c r="C410" s="6" t="inlineStr">
        <is>
          <t>REAL</t>
        </is>
      </c>
      <c r="D410" s="6" t="n"/>
      <c r="E410" s="6" t="inlineStr"/>
      <c r="F410" s="6" t="inlineStr"/>
    </row>
    <row r="411">
      <c r="A411" s="6" t="inlineStr">
        <is>
          <t>C12-15</t>
        </is>
      </c>
      <c r="B411" s="6" t="inlineStr">
        <is>
          <t>chatgpt</t>
        </is>
      </c>
      <c r="C411" s="6" t="inlineStr">
        <is>
          <t>REAL</t>
        </is>
      </c>
      <c r="D411" s="6" t="n"/>
      <c r="E411" s="6" t="inlineStr"/>
      <c r="F411" s="6" t="inlineStr"/>
    </row>
    <row r="412">
      <c r="A412" s="6" t="inlineStr">
        <is>
          <t>C13-01</t>
        </is>
      </c>
      <c r="B412" s="6" t="inlineStr">
        <is>
          <t>chatgpt</t>
        </is>
      </c>
      <c r="C412" s="6" t="inlineStr">
        <is>
          <t>REAL</t>
        </is>
      </c>
      <c r="D412" s="6" t="n"/>
      <c r="E412" s="6" t="inlineStr"/>
      <c r="F412" s="6" t="inlineStr"/>
    </row>
    <row r="413">
      <c r="A413" s="6" t="inlineStr">
        <is>
          <t>C13-02</t>
        </is>
      </c>
      <c r="B413" s="6" t="inlineStr">
        <is>
          <t>chatgpt</t>
        </is>
      </c>
      <c r="C413" s="6" t="inlineStr">
        <is>
          <t>REAL</t>
        </is>
      </c>
      <c r="D413" s="6" t="n"/>
      <c r="E413" s="6" t="inlineStr"/>
      <c r="F413" s="6" t="inlineStr"/>
    </row>
    <row r="414">
      <c r="A414" s="6" t="inlineStr">
        <is>
          <t>C13-03</t>
        </is>
      </c>
      <c r="B414" s="6" t="inlineStr">
        <is>
          <t>chatgpt</t>
        </is>
      </c>
      <c r="C414" s="6" t="inlineStr">
        <is>
          <t>REAL</t>
        </is>
      </c>
      <c r="D414" s="6" t="n"/>
      <c r="E414" s="6" t="inlineStr"/>
      <c r="F414" s="6" t="inlineStr"/>
    </row>
    <row r="415">
      <c r="A415" s="6" t="inlineStr">
        <is>
          <t>C13-04</t>
        </is>
      </c>
      <c r="B415" s="6" t="inlineStr">
        <is>
          <t>chatgpt</t>
        </is>
      </c>
      <c r="C415" s="6" t="inlineStr">
        <is>
          <t>REAL</t>
        </is>
      </c>
      <c r="D415" s="6" t="n"/>
      <c r="E415" s="6" t="inlineStr"/>
      <c r="F415" s="6" t="inlineStr"/>
    </row>
    <row r="416">
      <c r="A416" s="6" t="inlineStr">
        <is>
          <t>C13-05</t>
        </is>
      </c>
      <c r="B416" s="6" t="inlineStr">
        <is>
          <t>chatgpt</t>
        </is>
      </c>
      <c r="C416" s="6" t="inlineStr">
        <is>
          <t>REAL</t>
        </is>
      </c>
      <c r="D416" s="6" t="n"/>
      <c r="E416" s="6" t="inlineStr"/>
      <c r="F416" s="6" t="inlineStr"/>
    </row>
    <row r="417">
      <c r="A417" s="6" t="inlineStr">
        <is>
          <t>C13-06</t>
        </is>
      </c>
      <c r="B417" s="6" t="inlineStr">
        <is>
          <t>chatgpt</t>
        </is>
      </c>
      <c r="C417" s="6" t="inlineStr">
        <is>
          <t>REAL</t>
        </is>
      </c>
      <c r="D417" s="6" t="n"/>
      <c r="E417" s="6" t="inlineStr"/>
      <c r="F417" s="6" t="inlineStr"/>
    </row>
    <row r="418">
      <c r="A418" s="6" t="inlineStr">
        <is>
          <t>C13-07</t>
        </is>
      </c>
      <c r="B418" s="6" t="inlineStr">
        <is>
          <t>chatgpt</t>
        </is>
      </c>
      <c r="C418" s="6" t="inlineStr">
        <is>
          <t>REAL</t>
        </is>
      </c>
      <c r="D418" s="6" t="n"/>
      <c r="E418" s="6" t="inlineStr"/>
      <c r="F418" s="6" t="inlineStr"/>
    </row>
    <row r="419">
      <c r="A419" s="6" t="inlineStr">
        <is>
          <t>C13-08</t>
        </is>
      </c>
      <c r="B419" s="6" t="inlineStr">
        <is>
          <t>chatgpt</t>
        </is>
      </c>
      <c r="C419" s="6" t="inlineStr">
        <is>
          <t>REAL</t>
        </is>
      </c>
      <c r="D419" s="6" t="n"/>
      <c r="E419" s="6" t="inlineStr"/>
      <c r="F419" s="6" t="inlineStr"/>
    </row>
    <row r="420">
      <c r="A420" s="6" t="inlineStr">
        <is>
          <t>C13-09</t>
        </is>
      </c>
      <c r="B420" s="6" t="inlineStr">
        <is>
          <t>chatgpt</t>
        </is>
      </c>
      <c r="C420" s="6" t="inlineStr">
        <is>
          <t>REAL</t>
        </is>
      </c>
      <c r="D420" s="6" t="n"/>
      <c r="E420" s="6" t="inlineStr"/>
      <c r="F420" s="6" t="inlineStr"/>
    </row>
    <row r="421">
      <c r="A421" s="6" t="inlineStr">
        <is>
          <t>C13-10</t>
        </is>
      </c>
      <c r="B421" s="6" t="inlineStr">
        <is>
          <t>chatgpt</t>
        </is>
      </c>
      <c r="C421" s="6" t="inlineStr">
        <is>
          <t>REAL</t>
        </is>
      </c>
      <c r="D421" s="6" t="n"/>
      <c r="E421" s="6" t="inlineStr"/>
      <c r="F421" s="6" t="inlineStr"/>
    </row>
    <row r="422">
      <c r="A422" s="6" t="inlineStr">
        <is>
          <t>C13-11</t>
        </is>
      </c>
      <c r="B422" s="6" t="inlineStr">
        <is>
          <t>chatgpt</t>
        </is>
      </c>
      <c r="C422" s="6" t="inlineStr">
        <is>
          <t>REAL</t>
        </is>
      </c>
      <c r="D422" s="6" t="n"/>
      <c r="E422" s="6" t="inlineStr"/>
      <c r="F422" s="6" t="inlineStr"/>
    </row>
    <row r="423">
      <c r="A423" s="6" t="inlineStr">
        <is>
          <t>C13-12</t>
        </is>
      </c>
      <c r="B423" s="6" t="inlineStr">
        <is>
          <t>chatgpt</t>
        </is>
      </c>
      <c r="C423" s="6" t="inlineStr">
        <is>
          <t>REAL</t>
        </is>
      </c>
      <c r="D423" s="6" t="n"/>
      <c r="E423" s="6" t="inlineStr"/>
      <c r="F423" s="6" t="inlineStr"/>
    </row>
    <row r="424">
      <c r="A424" s="6" t="inlineStr">
        <is>
          <t>C14-01</t>
        </is>
      </c>
      <c r="B424" s="6" t="inlineStr">
        <is>
          <t>chatgpt</t>
        </is>
      </c>
      <c r="C424" s="6" t="inlineStr">
        <is>
          <t>REAL</t>
        </is>
      </c>
      <c r="D424" s="6" t="n"/>
      <c r="E424" s="6" t="inlineStr"/>
      <c r="F424" s="6" t="inlineStr"/>
    </row>
    <row r="425">
      <c r="A425" s="6" t="inlineStr">
        <is>
          <t>C14-02</t>
        </is>
      </c>
      <c r="B425" s="6" t="inlineStr">
        <is>
          <t>chatgpt</t>
        </is>
      </c>
      <c r="C425" s="6" t="inlineStr">
        <is>
          <t>REAL</t>
        </is>
      </c>
      <c r="D425" s="6" t="n"/>
      <c r="E425" s="6" t="inlineStr"/>
      <c r="F425" s="6" t="inlineStr"/>
    </row>
    <row r="426">
      <c r="A426" s="6" t="inlineStr">
        <is>
          <t>C14-03</t>
        </is>
      </c>
      <c r="B426" s="6" t="inlineStr">
        <is>
          <t>chatgpt</t>
        </is>
      </c>
      <c r="C426" s="6" t="inlineStr">
        <is>
          <t>REAL</t>
        </is>
      </c>
      <c r="D426" s="6" t="n"/>
      <c r="E426" s="6" t="inlineStr"/>
      <c r="F426" s="6" t="inlineStr"/>
    </row>
    <row r="427">
      <c r="A427" s="6" t="inlineStr">
        <is>
          <t>C14-04</t>
        </is>
      </c>
      <c r="B427" s="6" t="inlineStr">
        <is>
          <t>chatgpt</t>
        </is>
      </c>
      <c r="C427" s="6" t="inlineStr">
        <is>
          <t>REAL</t>
        </is>
      </c>
      <c r="D427" s="6" t="n"/>
      <c r="E427" s="6" t="inlineStr"/>
      <c r="F427" s="6" t="inlineStr"/>
    </row>
    <row r="428">
      <c r="A428" s="6" t="inlineStr">
        <is>
          <t>C14-05</t>
        </is>
      </c>
      <c r="B428" s="6" t="inlineStr">
        <is>
          <t>chatgpt</t>
        </is>
      </c>
      <c r="C428" s="6" t="inlineStr">
        <is>
          <t>REAL</t>
        </is>
      </c>
      <c r="D428" s="6" t="n"/>
      <c r="E428" s="6" t="inlineStr"/>
      <c r="F428" s="6" t="inlineStr"/>
    </row>
    <row r="429">
      <c r="A429" s="6" t="inlineStr">
        <is>
          <t>C14-06</t>
        </is>
      </c>
      <c r="B429" s="6" t="inlineStr">
        <is>
          <t>chatgpt</t>
        </is>
      </c>
      <c r="C429" s="6" t="inlineStr">
        <is>
          <t>REAL</t>
        </is>
      </c>
      <c r="D429" s="6" t="n"/>
      <c r="E429" s="6" t="inlineStr"/>
      <c r="F429" s="6" t="inlineStr"/>
    </row>
    <row r="430">
      <c r="A430" s="6" t="inlineStr">
        <is>
          <t>C14-07</t>
        </is>
      </c>
      <c r="B430" s="6" t="inlineStr">
        <is>
          <t>chatgpt</t>
        </is>
      </c>
      <c r="C430" s="6" t="inlineStr">
        <is>
          <t>REAL</t>
        </is>
      </c>
      <c r="D430" s="6" t="n"/>
      <c r="E430" s="6" t="inlineStr"/>
      <c r="F430" s="6" t="inlineStr"/>
    </row>
    <row r="431">
      <c r="A431" s="6" t="inlineStr">
        <is>
          <t>C14-08</t>
        </is>
      </c>
      <c r="B431" s="6" t="inlineStr">
        <is>
          <t>chatgpt</t>
        </is>
      </c>
      <c r="C431" s="6" t="inlineStr">
        <is>
          <t>REAL</t>
        </is>
      </c>
      <c r="D431" s="6" t="n"/>
      <c r="E431" s="6" t="inlineStr"/>
      <c r="F431" s="6" t="inlineStr"/>
    </row>
    <row r="432">
      <c r="A432" s="6" t="inlineStr">
        <is>
          <t>C14-09</t>
        </is>
      </c>
      <c r="B432" s="6" t="inlineStr">
        <is>
          <t>chatgpt</t>
        </is>
      </c>
      <c r="C432" s="6" t="inlineStr">
        <is>
          <t>REAL</t>
        </is>
      </c>
      <c r="D432" s="6" t="n"/>
      <c r="E432" s="6" t="inlineStr"/>
      <c r="F432" s="6" t="inlineStr"/>
    </row>
    <row r="433">
      <c r="A433" s="6" t="inlineStr">
        <is>
          <t>C14-10</t>
        </is>
      </c>
      <c r="B433" s="6" t="inlineStr">
        <is>
          <t>chatgpt</t>
        </is>
      </c>
      <c r="C433" s="6" t="inlineStr">
        <is>
          <t>REAL</t>
        </is>
      </c>
      <c r="D433" s="6" t="n"/>
      <c r="E433" s="6" t="inlineStr"/>
      <c r="F433" s="6" t="inlineStr"/>
    </row>
    <row r="434">
      <c r="A434" s="6" t="inlineStr">
        <is>
          <t>C14-11</t>
        </is>
      </c>
      <c r="B434" s="6" t="inlineStr">
        <is>
          <t>chatgpt</t>
        </is>
      </c>
      <c r="C434" s="6" t="inlineStr">
        <is>
          <t>REAL</t>
        </is>
      </c>
      <c r="D434" s="6" t="n"/>
      <c r="E434" s="6" t="inlineStr"/>
      <c r="F434" s="6" t="inlineStr"/>
    </row>
    <row r="435">
      <c r="A435" s="6" t="inlineStr">
        <is>
          <t>C14-12</t>
        </is>
      </c>
      <c r="B435" s="6" t="inlineStr">
        <is>
          <t>chatgpt</t>
        </is>
      </c>
      <c r="C435" s="6" t="inlineStr">
        <is>
          <t>REAL</t>
        </is>
      </c>
      <c r="D435" s="6" t="n"/>
      <c r="E435" s="6" t="inlineStr"/>
      <c r="F435" s="6" t="inlineStr"/>
    </row>
    <row r="436">
      <c r="A436" s="6" t="inlineStr">
        <is>
          <t>C14-13</t>
        </is>
      </c>
      <c r="B436" s="6" t="inlineStr">
        <is>
          <t>chatgpt</t>
        </is>
      </c>
      <c r="C436" s="6" t="inlineStr">
        <is>
          <t>REAL</t>
        </is>
      </c>
      <c r="D436" s="6" t="n"/>
      <c r="E436" s="6" t="inlineStr"/>
      <c r="F436" s="6" t="inlineStr"/>
    </row>
    <row r="437">
      <c r="A437" s="6" t="inlineStr">
        <is>
          <t>C15-01</t>
        </is>
      </c>
      <c r="B437" s="6" t="inlineStr">
        <is>
          <t>chatgpt</t>
        </is>
      </c>
      <c r="C437" s="6" t="inlineStr">
        <is>
          <t>REAL</t>
        </is>
      </c>
      <c r="D437" s="6" t="n"/>
      <c r="E437" s="6" t="inlineStr"/>
      <c r="F437" s="6" t="inlineStr"/>
    </row>
    <row r="438">
      <c r="A438" s="6" t="inlineStr">
        <is>
          <t>C15-02</t>
        </is>
      </c>
      <c r="B438" s="6" t="inlineStr">
        <is>
          <t>chatgpt</t>
        </is>
      </c>
      <c r="C438" s="6" t="inlineStr">
        <is>
          <t>REAL</t>
        </is>
      </c>
      <c r="D438" s="6" t="n"/>
      <c r="E438" s="6" t="inlineStr"/>
      <c r="F438" s="6" t="inlineStr"/>
    </row>
    <row r="439">
      <c r="A439" s="6" t="inlineStr">
        <is>
          <t>C15-03</t>
        </is>
      </c>
      <c r="B439" s="6" t="inlineStr">
        <is>
          <t>chatgpt</t>
        </is>
      </c>
      <c r="C439" s="6" t="inlineStr">
        <is>
          <t>REAL</t>
        </is>
      </c>
      <c r="D439" s="6" t="n"/>
      <c r="E439" s="6" t="inlineStr"/>
      <c r="F439" s="6" t="inlineStr"/>
    </row>
    <row r="440">
      <c r="A440" s="6" t="inlineStr">
        <is>
          <t>C15-04</t>
        </is>
      </c>
      <c r="B440" s="6" t="inlineStr">
        <is>
          <t>chatgpt</t>
        </is>
      </c>
      <c r="C440" s="6" t="inlineStr">
        <is>
          <t>REAL</t>
        </is>
      </c>
      <c r="D440" s="6" t="n"/>
      <c r="E440" s="6" t="inlineStr"/>
      <c r="F440" s="6" t="inlineStr"/>
    </row>
    <row r="441">
      <c r="A441" s="6" t="inlineStr">
        <is>
          <t>C15-05</t>
        </is>
      </c>
      <c r="B441" s="6" t="inlineStr">
        <is>
          <t>chatgpt</t>
        </is>
      </c>
      <c r="C441" s="6" t="inlineStr">
        <is>
          <t>REAL</t>
        </is>
      </c>
      <c r="D441" s="6" t="n"/>
      <c r="E441" s="6" t="inlineStr"/>
      <c r="F441" s="6" t="inlineStr"/>
    </row>
    <row r="442">
      <c r="A442" s="6" t="inlineStr">
        <is>
          <t>C15-06</t>
        </is>
      </c>
      <c r="B442" s="6" t="inlineStr">
        <is>
          <t>chatgpt</t>
        </is>
      </c>
      <c r="C442" s="6" t="inlineStr">
        <is>
          <t>REAL</t>
        </is>
      </c>
      <c r="D442" s="6" t="n"/>
      <c r="E442" s="6" t="inlineStr"/>
      <c r="F442" s="6" t="inlineStr"/>
    </row>
    <row r="443">
      <c r="A443" s="6" t="inlineStr">
        <is>
          <t>C15-07</t>
        </is>
      </c>
      <c r="B443" s="6" t="inlineStr">
        <is>
          <t>chatgpt</t>
        </is>
      </c>
      <c r="C443" s="6" t="inlineStr">
        <is>
          <t>REAL</t>
        </is>
      </c>
      <c r="D443" s="6" t="n"/>
      <c r="E443" s="6" t="inlineStr"/>
      <c r="F443" s="6" t="inlineStr"/>
    </row>
    <row r="444">
      <c r="A444" s="6" t="inlineStr">
        <is>
          <t>C15-08</t>
        </is>
      </c>
      <c r="B444" s="6" t="inlineStr">
        <is>
          <t>chatgpt</t>
        </is>
      </c>
      <c r="C444" s="6" t="inlineStr">
        <is>
          <t>REAL</t>
        </is>
      </c>
      <c r="D444" s="6" t="n"/>
      <c r="E444" s="6" t="inlineStr"/>
      <c r="F444" s="6" t="inlineStr"/>
    </row>
    <row r="445">
      <c r="A445" s="6" t="inlineStr">
        <is>
          <t>C15-09</t>
        </is>
      </c>
      <c r="B445" s="6" t="inlineStr">
        <is>
          <t>chatgpt</t>
        </is>
      </c>
      <c r="C445" s="6" t="inlineStr">
        <is>
          <t>REAL</t>
        </is>
      </c>
      <c r="D445" s="6" t="n"/>
      <c r="E445" s="6" t="inlineStr"/>
      <c r="F445" s="6" t="inlineStr"/>
    </row>
    <row r="446">
      <c r="A446" s="6" t="inlineStr">
        <is>
          <t>C15-10</t>
        </is>
      </c>
      <c r="B446" s="6" t="inlineStr">
        <is>
          <t>chatgpt</t>
        </is>
      </c>
      <c r="C446" s="6" t="inlineStr">
        <is>
          <t>REAL</t>
        </is>
      </c>
      <c r="D446" s="6" t="n"/>
      <c r="E446" s="6" t="inlineStr"/>
      <c r="F446" s="6" t="inlineStr"/>
    </row>
    <row r="447">
      <c r="A447" s="6" t="inlineStr">
        <is>
          <t>C15-11</t>
        </is>
      </c>
      <c r="B447" s="6" t="inlineStr">
        <is>
          <t>chatgpt</t>
        </is>
      </c>
      <c r="C447" s="6" t="inlineStr">
        <is>
          <t>REAL</t>
        </is>
      </c>
      <c r="D447" s="6" t="n"/>
      <c r="E447" s="6" t="inlineStr"/>
      <c r="F447" s="6" t="inlineStr"/>
    </row>
    <row r="448">
      <c r="A448" s="6" t="inlineStr">
        <is>
          <t>C15-12</t>
        </is>
      </c>
      <c r="B448" s="6" t="inlineStr">
        <is>
          <t>chatgpt</t>
        </is>
      </c>
      <c r="C448" s="6" t="inlineStr">
        <is>
          <t>REAL</t>
        </is>
      </c>
      <c r="D448" s="6" t="n"/>
      <c r="E448" s="6" t="inlineStr"/>
      <c r="F448" s="6" t="inlineStr"/>
    </row>
    <row r="449">
      <c r="A449" s="6" t="inlineStr">
        <is>
          <t>C15-13</t>
        </is>
      </c>
      <c r="B449" s="6" t="inlineStr">
        <is>
          <t>chatgpt</t>
        </is>
      </c>
      <c r="C449" s="6" t="inlineStr">
        <is>
          <t>REAL</t>
        </is>
      </c>
      <c r="D449" s="6" t="n"/>
      <c r="E449" s="6" t="inlineStr"/>
      <c r="F449" s="6" t="inlineStr"/>
    </row>
    <row r="450">
      <c r="A450" s="6" t="inlineStr">
        <is>
          <t>C15-14</t>
        </is>
      </c>
      <c r="B450" s="6" t="inlineStr">
        <is>
          <t>chatgpt</t>
        </is>
      </c>
      <c r="C450" s="6" t="inlineStr">
        <is>
          <t>REAL</t>
        </is>
      </c>
      <c r="D450" s="6" t="n"/>
      <c r="E450" s="6" t="inlineStr"/>
      <c r="F450" s="6" t="inlineStr"/>
    </row>
    <row r="451">
      <c r="A451" s="6" t="inlineStr">
        <is>
          <t>C15-15</t>
        </is>
      </c>
      <c r="B451" s="6" t="inlineStr">
        <is>
          <t>chatgpt</t>
        </is>
      </c>
      <c r="C451" s="6" t="inlineStr">
        <is>
          <t>REAL</t>
        </is>
      </c>
      <c r="D451" s="6" t="n"/>
      <c r="E451" s="6" t="inlineStr"/>
      <c r="F451" s="6" t="inlineStr"/>
    </row>
    <row r="452">
      <c r="A452" s="6" t="inlineStr">
        <is>
          <t>C15-16</t>
        </is>
      </c>
      <c r="B452" s="6" t="inlineStr">
        <is>
          <t>chatgpt</t>
        </is>
      </c>
      <c r="C452" s="6" t="inlineStr">
        <is>
          <t>REAL</t>
        </is>
      </c>
      <c r="D452" s="6" t="n"/>
      <c r="E452" s="6" t="inlineStr"/>
      <c r="F452" s="6" t="inlineStr"/>
    </row>
    <row r="453">
      <c r="A453" s="6" t="inlineStr">
        <is>
          <t>C15-17</t>
        </is>
      </c>
      <c r="B453" s="6" t="inlineStr">
        <is>
          <t>chatgpt</t>
        </is>
      </c>
      <c r="C453" s="6" t="inlineStr">
        <is>
          <t>REAL</t>
        </is>
      </c>
      <c r="D453" s="6" t="n"/>
      <c r="E453" s="6" t="inlineStr"/>
      <c r="F453" s="6" t="inlineStr"/>
    </row>
    <row r="454">
      <c r="A454" s="6" t="inlineStr">
        <is>
          <t>C15-18</t>
        </is>
      </c>
      <c r="B454" s="6" t="inlineStr">
        <is>
          <t>chatgpt</t>
        </is>
      </c>
      <c r="C454" s="6" t="inlineStr">
        <is>
          <t>REAL</t>
        </is>
      </c>
      <c r="D454" s="6" t="n"/>
      <c r="E454" s="6" t="inlineStr"/>
      <c r="F454" s="6" t="inlineStr"/>
    </row>
    <row r="455">
      <c r="A455" s="6" t="inlineStr">
        <is>
          <t>C15-19</t>
        </is>
      </c>
      <c r="B455" s="6" t="inlineStr">
        <is>
          <t>chatgpt</t>
        </is>
      </c>
      <c r="C455" s="6" t="inlineStr">
        <is>
          <t>REAL</t>
        </is>
      </c>
      <c r="D455" s="6" t="n"/>
      <c r="E455" s="6" t="inlineStr"/>
      <c r="F455" s="6" t="inlineStr"/>
    </row>
    <row r="456">
      <c r="A456" s="6" t="inlineStr">
        <is>
          <t>C15-20</t>
        </is>
      </c>
      <c r="B456" s="6" t="inlineStr">
        <is>
          <t>chatgpt</t>
        </is>
      </c>
      <c r="C456" s="6" t="inlineStr">
        <is>
          <t>REAL</t>
        </is>
      </c>
      <c r="D456" s="6" t="n"/>
      <c r="E456" s="6" t="inlineStr"/>
      <c r="F456" s="6" t="inlineStr"/>
    </row>
    <row r="457">
      <c r="A457" s="6" t="inlineStr">
        <is>
          <t>C15-21</t>
        </is>
      </c>
      <c r="B457" s="6" t="inlineStr">
        <is>
          <t>chatgpt</t>
        </is>
      </c>
      <c r="C457" s="6" t="inlineStr">
        <is>
          <t>REAL</t>
        </is>
      </c>
      <c r="D457" s="6" t="n"/>
      <c r="E457" s="6" t="inlineStr"/>
      <c r="F457" s="6" t="inlineStr"/>
    </row>
    <row r="458">
      <c r="A458" s="6" t="inlineStr">
        <is>
          <t>C15-22</t>
        </is>
      </c>
      <c r="B458" s="6" t="inlineStr">
        <is>
          <t>chatgpt</t>
        </is>
      </c>
      <c r="C458" s="6" t="inlineStr">
        <is>
          <t>REAL</t>
        </is>
      </c>
      <c r="D458" s="6" t="n"/>
      <c r="E458" s="6" t="inlineStr"/>
      <c r="F458" s="6" t="inlineStr"/>
    </row>
    <row r="459">
      <c r="A459" s="6" t="inlineStr">
        <is>
          <t>C15-23</t>
        </is>
      </c>
      <c r="B459" s="6" t="inlineStr">
        <is>
          <t>chatgpt</t>
        </is>
      </c>
      <c r="C459" s="6" t="inlineStr">
        <is>
          <t>REAL</t>
        </is>
      </c>
      <c r="D459" s="6" t="n"/>
      <c r="E459" s="6" t="inlineStr"/>
      <c r="F459" s="6" t="inlineStr"/>
    </row>
    <row r="460">
      <c r="A460" s="6" t="inlineStr">
        <is>
          <t>C15-24</t>
        </is>
      </c>
      <c r="B460" s="6" t="inlineStr">
        <is>
          <t>chatgpt</t>
        </is>
      </c>
      <c r="C460" s="6" t="inlineStr">
        <is>
          <t>REAL</t>
        </is>
      </c>
      <c r="D460" s="6" t="n"/>
      <c r="E460" s="6" t="inlineStr"/>
      <c r="F460" s="6" t="inlineStr"/>
    </row>
    <row r="461">
      <c r="A461" s="6" t="inlineStr">
        <is>
          <t>C15-25</t>
        </is>
      </c>
      <c r="B461" s="6" t="inlineStr">
        <is>
          <t>chatgpt</t>
        </is>
      </c>
      <c r="C461" s="6" t="inlineStr">
        <is>
          <t>REAL</t>
        </is>
      </c>
      <c r="D461" s="6" t="n"/>
      <c r="E461" s="6" t="inlineStr"/>
      <c r="F461" s="6" t="inlineStr"/>
    </row>
    <row r="462">
      <c r="A462" s="6" t="inlineStr">
        <is>
          <t>C15-26</t>
        </is>
      </c>
      <c r="B462" s="6" t="inlineStr">
        <is>
          <t>chatgpt</t>
        </is>
      </c>
      <c r="C462" s="6" t="inlineStr">
        <is>
          <t>REAL</t>
        </is>
      </c>
      <c r="D462" s="6" t="n"/>
      <c r="E462" s="6" t="inlineStr"/>
      <c r="F462" s="6" t="inlineStr"/>
    </row>
    <row r="463">
      <c r="A463" s="6" t="inlineStr">
        <is>
          <t>C15-27</t>
        </is>
      </c>
      <c r="B463" s="6" t="inlineStr">
        <is>
          <t>chatgpt</t>
        </is>
      </c>
      <c r="C463" s="6" t="inlineStr">
        <is>
          <t>REAL</t>
        </is>
      </c>
      <c r="D463" s="6" t="n"/>
      <c r="E463" s="6" t="inlineStr"/>
      <c r="F463" s="6" t="inlineStr"/>
    </row>
    <row r="464">
      <c r="A464" s="6" t="inlineStr">
        <is>
          <t>C15-28</t>
        </is>
      </c>
      <c r="B464" s="6" t="inlineStr">
        <is>
          <t>chatgpt</t>
        </is>
      </c>
      <c r="C464" s="6" t="inlineStr">
        <is>
          <t>REAL</t>
        </is>
      </c>
      <c r="D464" s="6" t="n"/>
      <c r="E464" s="6" t="inlineStr"/>
      <c r="F464" s="6" t="inlineStr"/>
    </row>
    <row r="465">
      <c r="A465" s="6" t="inlineStr">
        <is>
          <t>C15-29</t>
        </is>
      </c>
      <c r="B465" s="6" t="inlineStr">
        <is>
          <t>chatgpt</t>
        </is>
      </c>
      <c r="C465" s="6" t="inlineStr">
        <is>
          <t>REAL</t>
        </is>
      </c>
      <c r="D465" s="6" t="n"/>
      <c r="E465" s="6" t="inlineStr"/>
      <c r="F465" s="6" t="inlineStr"/>
    </row>
    <row r="466">
      <c r="A466" s="6" t="inlineStr">
        <is>
          <t>C15-30</t>
        </is>
      </c>
      <c r="B466" s="6" t="inlineStr">
        <is>
          <t>chatgpt</t>
        </is>
      </c>
      <c r="C466" s="6" t="inlineStr">
        <is>
          <t>REAL</t>
        </is>
      </c>
      <c r="D466" s="6" t="n"/>
      <c r="E466" s="6" t="inlineStr"/>
      <c r="F466" s="6" t="inlineStr"/>
    </row>
    <row r="467">
      <c r="A467" s="6" t="inlineStr">
        <is>
          <t>C15-31</t>
        </is>
      </c>
      <c r="B467" s="6" t="inlineStr">
        <is>
          <t>chatgpt</t>
        </is>
      </c>
      <c r="C467" s="6" t="inlineStr">
        <is>
          <t>REAL</t>
        </is>
      </c>
      <c r="D467" s="6" t="n"/>
      <c r="E467" s="6" t="inlineStr"/>
      <c r="F467" s="6" t="inlineStr"/>
    </row>
    <row r="468">
      <c r="A468" s="6" t="inlineStr">
        <is>
          <t>C15-32</t>
        </is>
      </c>
      <c r="B468" s="6" t="inlineStr">
        <is>
          <t>chatgpt</t>
        </is>
      </c>
      <c r="C468" s="6" t="inlineStr">
        <is>
          <t>REAL</t>
        </is>
      </c>
      <c r="D468" s="6" t="n"/>
      <c r="E468" s="6" t="inlineStr"/>
      <c r="F468" s="6" t="inlineStr"/>
    </row>
    <row r="469">
      <c r="A469" s="6" t="inlineStr">
        <is>
          <t>C15-33</t>
        </is>
      </c>
      <c r="B469" s="6" t="inlineStr">
        <is>
          <t>chatgpt</t>
        </is>
      </c>
      <c r="C469" s="6" t="inlineStr">
        <is>
          <t>REAL</t>
        </is>
      </c>
      <c r="D469" s="6" t="n"/>
      <c r="E469" s="6" t="inlineStr"/>
      <c r="F469" s="6" t="inlineStr"/>
    </row>
    <row r="470">
      <c r="A470" s="6" t="inlineStr">
        <is>
          <t>C15-34</t>
        </is>
      </c>
      <c r="B470" s="6" t="inlineStr">
        <is>
          <t>chatgpt</t>
        </is>
      </c>
      <c r="C470" s="6" t="inlineStr">
        <is>
          <t>REAL</t>
        </is>
      </c>
      <c r="D470" s="6" t="n"/>
      <c r="E470" s="6" t="inlineStr"/>
      <c r="F470" s="6" t="inlineStr"/>
    </row>
    <row r="471">
      <c r="A471" s="6" t="inlineStr">
        <is>
          <t>C15-35</t>
        </is>
      </c>
      <c r="B471" s="6" t="inlineStr">
        <is>
          <t>chatgpt</t>
        </is>
      </c>
      <c r="C471" s="6" t="inlineStr">
        <is>
          <t>REAL</t>
        </is>
      </c>
      <c r="D471" s="6" t="n"/>
      <c r="E471" s="6" t="inlineStr"/>
      <c r="F471" s="6" t="inlineStr"/>
    </row>
    <row r="472">
      <c r="A472" s="6" t="inlineStr">
        <is>
          <t>C15-36</t>
        </is>
      </c>
      <c r="B472" s="6" t="inlineStr">
        <is>
          <t>chatgpt</t>
        </is>
      </c>
      <c r="C472" s="6" t="inlineStr">
        <is>
          <t>REAL</t>
        </is>
      </c>
      <c r="D472" s="6" t="n"/>
      <c r="E472" s="6" t="inlineStr"/>
      <c r="F472" s="6" t="inlineStr"/>
    </row>
    <row r="473">
      <c r="A473" s="6" t="inlineStr">
        <is>
          <t>C15-37</t>
        </is>
      </c>
      <c r="B473" s="6" t="inlineStr">
        <is>
          <t>chatgpt</t>
        </is>
      </c>
      <c r="C473" s="6" t="inlineStr">
        <is>
          <t>REAL</t>
        </is>
      </c>
      <c r="D473" s="6" t="n"/>
      <c r="E473" s="6" t="inlineStr"/>
      <c r="F473" s="6" t="inlineStr"/>
    </row>
    <row r="474">
      <c r="A474" s="6" t="inlineStr">
        <is>
          <t>C15-38</t>
        </is>
      </c>
      <c r="B474" s="6" t="inlineStr">
        <is>
          <t>chatgpt</t>
        </is>
      </c>
      <c r="C474" s="6" t="inlineStr">
        <is>
          <t>REAL</t>
        </is>
      </c>
      <c r="D474" s="6" t="n"/>
      <c r="E474" s="6" t="inlineStr"/>
      <c r="F474" s="6" t="inlineStr"/>
    </row>
    <row r="475">
      <c r="A475" s="6" t="inlineStr">
        <is>
          <t>C15-39</t>
        </is>
      </c>
      <c r="B475" s="6" t="inlineStr">
        <is>
          <t>chatgpt</t>
        </is>
      </c>
      <c r="C475" s="6" t="inlineStr">
        <is>
          <t>REAL</t>
        </is>
      </c>
      <c r="D475" s="6" t="n"/>
      <c r="E475" s="6" t="inlineStr"/>
      <c r="F475" s="6" t="inlineStr"/>
    </row>
    <row r="476">
      <c r="A476" s="6" t="inlineStr">
        <is>
          <t>C15-40</t>
        </is>
      </c>
      <c r="B476" s="6" t="inlineStr">
        <is>
          <t>chatgpt</t>
        </is>
      </c>
      <c r="C476" s="6" t="inlineStr">
        <is>
          <t>REAL</t>
        </is>
      </c>
      <c r="D476" s="6" t="n"/>
      <c r="E476" s="6" t="inlineStr"/>
      <c r="F476" s="6" t="inlineStr"/>
    </row>
    <row r="477">
      <c r="A477" s="6" t="inlineStr">
        <is>
          <t>C15-41</t>
        </is>
      </c>
      <c r="B477" s="6" t="inlineStr">
        <is>
          <t>chatgpt</t>
        </is>
      </c>
      <c r="C477" s="6" t="inlineStr">
        <is>
          <t>REAL</t>
        </is>
      </c>
      <c r="D477" s="6" t="n"/>
      <c r="E477" s="6" t="inlineStr"/>
      <c r="F477" s="6" t="inlineStr"/>
    </row>
    <row r="478">
      <c r="A478" s="6" t="inlineStr">
        <is>
          <t>C15-42</t>
        </is>
      </c>
      <c r="B478" s="6" t="inlineStr">
        <is>
          <t>chatgpt</t>
        </is>
      </c>
      <c r="C478" s="6" t="inlineStr">
        <is>
          <t>REAL</t>
        </is>
      </c>
      <c r="D478" s="6" t="n"/>
      <c r="E478" s="6" t="inlineStr"/>
      <c r="F478" s="6" t="inlineStr"/>
    </row>
    <row r="479">
      <c r="A479" s="6" t="inlineStr">
        <is>
          <t>C16-01</t>
        </is>
      </c>
      <c r="B479" s="6" t="inlineStr">
        <is>
          <t>chatgpt</t>
        </is>
      </c>
      <c r="C479" s="6" t="inlineStr">
        <is>
          <t>REAL</t>
        </is>
      </c>
      <c r="D479" s="6" t="n"/>
      <c r="E479" s="6" t="inlineStr"/>
      <c r="F479" s="6" t="inlineStr"/>
    </row>
    <row r="480">
      <c r="A480" s="6" t="inlineStr">
        <is>
          <t>C16-02</t>
        </is>
      </c>
      <c r="B480" s="6" t="inlineStr">
        <is>
          <t>chatgpt</t>
        </is>
      </c>
      <c r="C480" s="6" t="inlineStr">
        <is>
          <t>REAL</t>
        </is>
      </c>
      <c r="D480" s="6" t="n"/>
      <c r="E480" s="6" t="inlineStr"/>
      <c r="F480" s="6" t="inlineStr"/>
    </row>
    <row r="481">
      <c r="A481" s="6" t="inlineStr">
        <is>
          <t>C16-03</t>
        </is>
      </c>
      <c r="B481" s="6" t="inlineStr">
        <is>
          <t>chatgpt</t>
        </is>
      </c>
      <c r="C481" s="6" t="inlineStr">
        <is>
          <t>REAL</t>
        </is>
      </c>
      <c r="D481" s="6" t="n"/>
      <c r="E481" s="6" t="inlineStr"/>
      <c r="F481" s="6" t="inlineStr"/>
    </row>
    <row r="482">
      <c r="A482" s="6" t="inlineStr">
        <is>
          <t>C16-04</t>
        </is>
      </c>
      <c r="B482" s="6" t="inlineStr">
        <is>
          <t>chatgpt</t>
        </is>
      </c>
      <c r="C482" s="6" t="inlineStr">
        <is>
          <t>REAL</t>
        </is>
      </c>
      <c r="D482" s="6" t="n"/>
      <c r="E482" s="6" t="inlineStr"/>
      <c r="F482" s="6" t="inlineStr"/>
    </row>
    <row r="483">
      <c r="A483" s="6" t="inlineStr">
        <is>
          <t>C16-05</t>
        </is>
      </c>
      <c r="B483" s="6" t="inlineStr">
        <is>
          <t>chatgpt</t>
        </is>
      </c>
      <c r="C483" s="6" t="inlineStr">
        <is>
          <t>REAL</t>
        </is>
      </c>
      <c r="D483" s="6" t="n"/>
      <c r="E483" s="6" t="inlineStr"/>
      <c r="F483" s="6" t="inlineStr"/>
    </row>
    <row r="484">
      <c r="A484" s="6" t="inlineStr">
        <is>
          <t>C16-06</t>
        </is>
      </c>
      <c r="B484" s="6" t="inlineStr">
        <is>
          <t>chatgpt</t>
        </is>
      </c>
      <c r="C484" s="6" t="inlineStr">
        <is>
          <t>REAL</t>
        </is>
      </c>
      <c r="D484" s="6" t="n"/>
      <c r="E484" s="6" t="inlineStr"/>
      <c r="F484" s="6" t="inlineStr"/>
    </row>
    <row r="485">
      <c r="A485" s="6" t="inlineStr">
        <is>
          <t>C16-07</t>
        </is>
      </c>
      <c r="B485" s="6" t="inlineStr">
        <is>
          <t>chatgpt</t>
        </is>
      </c>
      <c r="C485" s="6" t="inlineStr">
        <is>
          <t>REAL</t>
        </is>
      </c>
      <c r="D485" s="6" t="n"/>
      <c r="E485" s="6" t="inlineStr"/>
      <c r="F485" s="6" t="inlineStr"/>
    </row>
    <row r="486">
      <c r="A486" s="6" t="inlineStr">
        <is>
          <t>C16-08</t>
        </is>
      </c>
      <c r="B486" s="6" t="inlineStr">
        <is>
          <t>chatgpt</t>
        </is>
      </c>
      <c r="C486" s="6" t="inlineStr">
        <is>
          <t>REAL</t>
        </is>
      </c>
      <c r="D486" s="6" t="n"/>
      <c r="E486" s="6" t="inlineStr"/>
      <c r="F486" s="6" t="inlineStr"/>
    </row>
    <row r="487">
      <c r="A487" s="6" t="inlineStr">
        <is>
          <t>C16-09</t>
        </is>
      </c>
      <c r="B487" s="6" t="inlineStr">
        <is>
          <t>chatgpt</t>
        </is>
      </c>
      <c r="C487" s="6" t="inlineStr">
        <is>
          <t>REAL</t>
        </is>
      </c>
      <c r="D487" s="6" t="n"/>
      <c r="E487" s="6" t="inlineStr"/>
      <c r="F487" s="6" t="inlineStr"/>
    </row>
    <row r="488">
      <c r="A488" s="6" t="inlineStr">
        <is>
          <t>C16-10</t>
        </is>
      </c>
      <c r="B488" s="6" t="inlineStr">
        <is>
          <t>chatgpt</t>
        </is>
      </c>
      <c r="C488" s="6" t="inlineStr">
        <is>
          <t>REAL</t>
        </is>
      </c>
      <c r="D488" s="6" t="n"/>
      <c r="E488" s="6" t="inlineStr"/>
      <c r="F488" s="6" t="inlineStr"/>
    </row>
    <row r="489">
      <c r="A489" s="6" t="inlineStr">
        <is>
          <t>C16-11</t>
        </is>
      </c>
      <c r="B489" s="6" t="inlineStr">
        <is>
          <t>chatgpt</t>
        </is>
      </c>
      <c r="C489" s="6" t="inlineStr">
        <is>
          <t>REAL</t>
        </is>
      </c>
      <c r="D489" s="6" t="n"/>
      <c r="E489" s="6" t="inlineStr"/>
      <c r="F489" s="6" t="inlineStr"/>
    </row>
    <row r="490">
      <c r="A490" s="6" t="inlineStr">
        <is>
          <t>S001</t>
        </is>
      </c>
      <c r="B490" s="6" t="inlineStr">
        <is>
          <t>pair</t>
        </is>
      </c>
      <c r="C490" s="6" t="inlineStr">
        <is>
          <t>PAIR-HEDGED</t>
        </is>
      </c>
      <c r="D490" s="6" t="inlineStr">
        <is>
          <t>not_met</t>
        </is>
      </c>
      <c r="E490" s="6" t="inlineStr">
        <is>
          <t>p34</t>
        </is>
      </c>
      <c r="F490" s="6" t="inlineStr">
        <is>
          <t>hedged half of a pair</t>
        </is>
      </c>
    </row>
    <row r="491">
      <c r="A491" s="6" t="inlineStr">
        <is>
          <t>S002</t>
        </is>
      </c>
      <c r="B491" s="6" t="inlineStr">
        <is>
          <t>trap</t>
        </is>
      </c>
      <c r="C491" s="6" t="inlineStr">
        <is>
          <t>REPORTED</t>
        </is>
      </c>
      <c r="D491" s="6" t="inlineStr">
        <is>
          <t>not_met</t>
        </is>
      </c>
      <c r="E491" s="6" t="inlineStr"/>
      <c r="F491" s="6" t="inlineStr">
        <is>
          <t>names a myth</t>
        </is>
      </c>
    </row>
    <row r="492">
      <c r="A492" s="6" t="inlineStr">
        <is>
          <t>S003</t>
        </is>
      </c>
      <c r="B492" s="6" t="inlineStr">
        <is>
          <t>pair</t>
        </is>
      </c>
      <c r="C492" s="6" t="inlineStr">
        <is>
          <t>SWEEP-ABS</t>
        </is>
      </c>
      <c r="D492" s="6" t="inlineStr">
        <is>
          <t>met</t>
        </is>
      </c>
      <c r="E492" s="6" t="inlineStr">
        <is>
          <t>p18</t>
        </is>
      </c>
      <c r="F492" s="6" t="inlineStr">
        <is>
          <t>sweeping half of a pair</t>
        </is>
      </c>
    </row>
    <row r="493">
      <c r="A493" s="6" t="inlineStr">
        <is>
          <t>S004</t>
        </is>
      </c>
      <c r="B493" s="6" t="inlineStr">
        <is>
          <t>trap</t>
        </is>
      </c>
      <c r="C493" s="6" t="inlineStr">
        <is>
          <t>TRUE-ABS</t>
        </is>
      </c>
      <c r="D493" s="6" t="inlineStr">
        <is>
          <t>not_met</t>
        </is>
      </c>
      <c r="E493" s="6" t="inlineStr"/>
      <c r="F493" s="6" t="inlineStr">
        <is>
          <t>constitutional fact</t>
        </is>
      </c>
    </row>
    <row r="494">
      <c r="A494" s="6" t="inlineStr">
        <is>
          <t>S005</t>
        </is>
      </c>
      <c r="B494" s="6" t="inlineStr">
        <is>
          <t>pair</t>
        </is>
      </c>
      <c r="C494" s="6" t="inlineStr">
        <is>
          <t>PAIR-HEDGED</t>
        </is>
      </c>
      <c r="D494" s="6" t="inlineStr">
        <is>
          <t>not_met</t>
        </is>
      </c>
      <c r="E494" s="6" t="inlineStr">
        <is>
          <t>p02</t>
        </is>
      </c>
      <c r="F494" s="6" t="inlineStr">
        <is>
          <t>hedged half of a pair</t>
        </is>
      </c>
    </row>
    <row r="495">
      <c r="A495" s="6" t="inlineStr">
        <is>
          <t>S006</t>
        </is>
      </c>
      <c r="B495" s="6" t="inlineStr">
        <is>
          <t>pair</t>
        </is>
      </c>
      <c r="C495" s="6" t="inlineStr">
        <is>
          <t>PAIR-HEDGED</t>
        </is>
      </c>
      <c r="D495" s="6" t="inlineStr">
        <is>
          <t>not_met</t>
        </is>
      </c>
      <c r="E495" s="6" t="inlineStr">
        <is>
          <t>p26</t>
        </is>
      </c>
      <c r="F495" s="6" t="inlineStr">
        <is>
          <t>hedged half of a pair</t>
        </is>
      </c>
    </row>
    <row r="496">
      <c r="A496" s="6" t="inlineStr">
        <is>
          <t>S007</t>
        </is>
      </c>
      <c r="B496" s="6" t="inlineStr">
        <is>
          <t>pair</t>
        </is>
      </c>
      <c r="C496" s="6" t="inlineStr">
        <is>
          <t>PAIR-HEDGED</t>
        </is>
      </c>
      <c r="D496" s="6" t="inlineStr">
        <is>
          <t>not_met</t>
        </is>
      </c>
      <c r="E496" s="6" t="inlineStr">
        <is>
          <t>p31</t>
        </is>
      </c>
      <c r="F496" s="6" t="inlineStr">
        <is>
          <t>hedged half of a pair</t>
        </is>
      </c>
    </row>
    <row r="497">
      <c r="A497" s="6" t="inlineStr">
        <is>
          <t>S008</t>
        </is>
      </c>
      <c r="B497" s="6" t="inlineStr">
        <is>
          <t>pair</t>
        </is>
      </c>
      <c r="C497" s="6" t="inlineStr">
        <is>
          <t>PAIR-HEDGED</t>
        </is>
      </c>
      <c r="D497" s="6" t="inlineStr">
        <is>
          <t>not_met</t>
        </is>
      </c>
      <c r="E497" s="6" t="inlineStr">
        <is>
          <t>p38</t>
        </is>
      </c>
      <c r="F497" s="6" t="inlineStr">
        <is>
          <t>hedged half of a pair</t>
        </is>
      </c>
    </row>
    <row r="498">
      <c r="A498" s="6" t="inlineStr">
        <is>
          <t>S009</t>
        </is>
      </c>
      <c r="B498" s="6" t="inlineStr">
        <is>
          <t>trap</t>
        </is>
      </c>
      <c r="C498" s="6" t="inlineStr">
        <is>
          <t>HEDGED</t>
        </is>
      </c>
      <c r="D498" s="6" t="inlineStr">
        <is>
          <t>not_met</t>
        </is>
      </c>
      <c r="E498" s="6" t="inlineStr"/>
      <c r="F498" s="6" t="inlineStr">
        <is>
          <t>'usually'</t>
        </is>
      </c>
    </row>
    <row r="499">
      <c r="A499" s="6" t="inlineStr">
        <is>
          <t>S010</t>
        </is>
      </c>
      <c r="B499" s="6" t="inlineStr">
        <is>
          <t>pair</t>
        </is>
      </c>
      <c r="C499" s="6" t="inlineStr">
        <is>
          <t>SWEEP-ABS</t>
        </is>
      </c>
      <c r="D499" s="6" t="inlineStr">
        <is>
          <t>met</t>
        </is>
      </c>
      <c r="E499" s="6" t="inlineStr">
        <is>
          <t>p01</t>
        </is>
      </c>
      <c r="F499" s="6" t="inlineStr">
        <is>
          <t>sweeping half of a pair</t>
        </is>
      </c>
    </row>
    <row r="500">
      <c r="A500" s="6" t="inlineStr">
        <is>
          <t>S011</t>
        </is>
      </c>
      <c r="B500" s="6" t="inlineStr">
        <is>
          <t>pair</t>
        </is>
      </c>
      <c r="C500" s="6" t="inlineStr">
        <is>
          <t>PAIR-HEDGED</t>
        </is>
      </c>
      <c r="D500" s="6" t="inlineStr">
        <is>
          <t>not_met</t>
        </is>
      </c>
      <c r="E500" s="6" t="inlineStr">
        <is>
          <t>p01</t>
        </is>
      </c>
      <c r="F500" s="6" t="inlineStr">
        <is>
          <t>hedged half of a pair</t>
        </is>
      </c>
    </row>
    <row r="501">
      <c r="A501" s="6" t="inlineStr">
        <is>
          <t>S012</t>
        </is>
      </c>
      <c r="B501" s="6" t="inlineStr">
        <is>
          <t>pair</t>
        </is>
      </c>
      <c r="C501" s="6" t="inlineStr">
        <is>
          <t>PAIR-HEDGED</t>
        </is>
      </c>
      <c r="D501" s="6" t="inlineStr">
        <is>
          <t>not_met</t>
        </is>
      </c>
      <c r="E501" s="6" t="inlineStr">
        <is>
          <t>p29</t>
        </is>
      </c>
      <c r="F501" s="6" t="inlineStr">
        <is>
          <t>hedged half of a pair</t>
        </is>
      </c>
    </row>
    <row r="502">
      <c r="A502" s="6" t="inlineStr">
        <is>
          <t>S013</t>
        </is>
      </c>
      <c r="B502" s="6" t="inlineStr">
        <is>
          <t>pair</t>
        </is>
      </c>
      <c r="C502" s="6" t="inlineStr">
        <is>
          <t>SWEEP-ABS</t>
        </is>
      </c>
      <c r="D502" s="6" t="inlineStr">
        <is>
          <t>met</t>
        </is>
      </c>
      <c r="E502" s="6" t="inlineStr">
        <is>
          <t>p30</t>
        </is>
      </c>
      <c r="F502" s="6" t="inlineStr">
        <is>
          <t>sweeping half of a pair</t>
        </is>
      </c>
    </row>
    <row r="503">
      <c r="A503" s="6" t="inlineStr">
        <is>
          <t>S014</t>
        </is>
      </c>
      <c r="B503" s="6" t="inlineStr">
        <is>
          <t>trap</t>
        </is>
      </c>
      <c r="C503" s="6" t="inlineStr">
        <is>
          <t>TRUE-ABS</t>
        </is>
      </c>
      <c r="D503" s="6" t="inlineStr">
        <is>
          <t>not_met</t>
        </is>
      </c>
      <c r="E503" s="6" t="inlineStr"/>
      <c r="F503" s="6" t="inlineStr">
        <is>
          <t>biological fact</t>
        </is>
      </c>
    </row>
    <row r="504">
      <c r="A504" s="6" t="inlineStr">
        <is>
          <t>S015</t>
        </is>
      </c>
      <c r="B504" s="6" t="inlineStr">
        <is>
          <t>pair</t>
        </is>
      </c>
      <c r="C504" s="6" t="inlineStr">
        <is>
          <t>SWEEP-GENERIC</t>
        </is>
      </c>
      <c r="D504" s="6" t="inlineStr">
        <is>
          <t>met</t>
        </is>
      </c>
      <c r="E504" s="6" t="inlineStr">
        <is>
          <t>p21</t>
        </is>
      </c>
      <c r="F504" s="6" t="inlineStr">
        <is>
          <t>sweeping half of a pair</t>
        </is>
      </c>
    </row>
    <row r="505">
      <c r="A505" s="6" t="inlineStr">
        <is>
          <t>S016</t>
        </is>
      </c>
      <c r="B505" s="6" t="inlineStr">
        <is>
          <t>pair</t>
        </is>
      </c>
      <c r="C505" s="6" t="inlineStr">
        <is>
          <t>SWEEP-GENERIC</t>
        </is>
      </c>
      <c r="D505" s="6" t="inlineStr">
        <is>
          <t>met</t>
        </is>
      </c>
      <c r="E505" s="6" t="inlineStr">
        <is>
          <t>p09</t>
        </is>
      </c>
      <c r="F505" s="6" t="inlineStr">
        <is>
          <t>sweeping half of a pair</t>
        </is>
      </c>
    </row>
    <row r="506">
      <c r="A506" s="6" t="inlineStr">
        <is>
          <t>S017</t>
        </is>
      </c>
      <c r="B506" s="6" t="inlineStr">
        <is>
          <t>pair</t>
        </is>
      </c>
      <c r="C506" s="6" t="inlineStr">
        <is>
          <t>PAIR-HEDGED</t>
        </is>
      </c>
      <c r="D506" s="6" t="inlineStr">
        <is>
          <t>not_met</t>
        </is>
      </c>
      <c r="E506" s="6" t="inlineStr">
        <is>
          <t>p22</t>
        </is>
      </c>
      <c r="F506" s="6" t="inlineStr">
        <is>
          <t>hedged half of a pair</t>
        </is>
      </c>
    </row>
    <row r="507">
      <c r="A507" s="6" t="inlineStr">
        <is>
          <t>S018</t>
        </is>
      </c>
      <c r="B507" s="6" t="inlineStr">
        <is>
          <t>pair</t>
        </is>
      </c>
      <c r="C507" s="6" t="inlineStr">
        <is>
          <t>SWEEP-ABS</t>
        </is>
      </c>
      <c r="D507" s="6" t="inlineStr">
        <is>
          <t>met</t>
        </is>
      </c>
      <c r="E507" s="6" t="inlineStr">
        <is>
          <t>p08</t>
        </is>
      </c>
      <c r="F507" s="6" t="inlineStr">
        <is>
          <t>sweeping half of a pair</t>
        </is>
      </c>
    </row>
    <row r="508">
      <c r="A508" s="6" t="inlineStr">
        <is>
          <t>S019</t>
        </is>
      </c>
      <c r="B508" s="6" t="inlineStr">
        <is>
          <t>pair</t>
        </is>
      </c>
      <c r="C508" s="6" t="inlineStr">
        <is>
          <t>PAIR-HEDGED</t>
        </is>
      </c>
      <c r="D508" s="6" t="inlineStr">
        <is>
          <t>not_met</t>
        </is>
      </c>
      <c r="E508" s="6" t="inlineStr">
        <is>
          <t>p13</t>
        </is>
      </c>
      <c r="F508" s="6" t="inlineStr">
        <is>
          <t>hedged half of a pair</t>
        </is>
      </c>
    </row>
    <row r="509">
      <c r="A509" s="6" t="inlineStr">
        <is>
          <t>S020</t>
        </is>
      </c>
      <c r="B509" s="6" t="inlineStr">
        <is>
          <t>trap</t>
        </is>
      </c>
      <c r="C509" s="6" t="inlineStr">
        <is>
          <t>REPORTED</t>
        </is>
      </c>
      <c r="D509" s="6" t="inlineStr">
        <is>
          <t>not_met</t>
        </is>
      </c>
      <c r="E509" s="6" t="inlineStr"/>
      <c r="F509" s="6" t="inlineStr">
        <is>
          <t>reports an ad's claim</t>
        </is>
      </c>
    </row>
    <row r="510">
      <c r="A510" s="6" t="inlineStr">
        <is>
          <t>S021</t>
        </is>
      </c>
      <c r="B510" s="6" t="inlineStr">
        <is>
          <t>pair</t>
        </is>
      </c>
      <c r="C510" s="6" t="inlineStr">
        <is>
          <t>PAIR-HEDGED</t>
        </is>
      </c>
      <c r="D510" s="6" t="inlineStr">
        <is>
          <t>not_met</t>
        </is>
      </c>
      <c r="E510" s="6" t="inlineStr">
        <is>
          <t>p39</t>
        </is>
      </c>
      <c r="F510" s="6" t="inlineStr">
        <is>
          <t>hedged half of a pair</t>
        </is>
      </c>
    </row>
    <row r="511">
      <c r="A511" s="6" t="inlineStr">
        <is>
          <t>S022</t>
        </is>
      </c>
      <c r="B511" s="6" t="inlineStr">
        <is>
          <t>pair</t>
        </is>
      </c>
      <c r="C511" s="6" t="inlineStr">
        <is>
          <t>PAIR-HEDGED</t>
        </is>
      </c>
      <c r="D511" s="6" t="inlineStr">
        <is>
          <t>not_met</t>
        </is>
      </c>
      <c r="E511" s="6" t="inlineStr">
        <is>
          <t>p40</t>
        </is>
      </c>
      <c r="F511" s="6" t="inlineStr">
        <is>
          <t>hedged half of a pair</t>
        </is>
      </c>
    </row>
    <row r="512">
      <c r="A512" s="6" t="inlineStr">
        <is>
          <t>S023</t>
        </is>
      </c>
      <c r="B512" s="6" t="inlineStr">
        <is>
          <t>pair</t>
        </is>
      </c>
      <c r="C512" s="6" t="inlineStr">
        <is>
          <t>SWEEP-ABS</t>
        </is>
      </c>
      <c r="D512" s="6" t="inlineStr">
        <is>
          <t>met</t>
        </is>
      </c>
      <c r="E512" s="6" t="inlineStr">
        <is>
          <t>p12</t>
        </is>
      </c>
      <c r="F512" s="6" t="inlineStr">
        <is>
          <t>sweeping half of a pair</t>
        </is>
      </c>
    </row>
    <row r="513">
      <c r="A513" s="6" t="inlineStr">
        <is>
          <t>S024</t>
        </is>
      </c>
      <c r="B513" s="6" t="inlineStr">
        <is>
          <t>trap</t>
        </is>
      </c>
      <c r="C513" s="6" t="inlineStr">
        <is>
          <t>REPORTED</t>
        </is>
      </c>
      <c r="D513" s="6" t="inlineStr">
        <is>
          <t>not_met</t>
        </is>
      </c>
      <c r="E513" s="6" t="inlineStr"/>
      <c r="F513" s="6" t="inlineStr">
        <is>
          <t>reports critics' view; depends on the reported-arguments rule</t>
        </is>
      </c>
    </row>
    <row r="514">
      <c r="A514" s="6" t="inlineStr">
        <is>
          <t>S025</t>
        </is>
      </c>
      <c r="B514" s="6" t="inlineStr">
        <is>
          <t>pair</t>
        </is>
      </c>
      <c r="C514" s="6" t="inlineStr">
        <is>
          <t>SWEEP-GENERIC</t>
        </is>
      </c>
      <c r="D514" s="6" t="inlineStr">
        <is>
          <t>met</t>
        </is>
      </c>
      <c r="E514" s="6" t="inlineStr">
        <is>
          <t>p25</t>
        </is>
      </c>
      <c r="F514" s="6" t="inlineStr">
        <is>
          <t>sweeping half of a pair</t>
        </is>
      </c>
    </row>
    <row r="515">
      <c r="A515" s="6" t="inlineStr">
        <is>
          <t>S026</t>
        </is>
      </c>
      <c r="B515" s="6" t="inlineStr">
        <is>
          <t>pair</t>
        </is>
      </c>
      <c r="C515" s="6" t="inlineStr">
        <is>
          <t>SWEEP-GENERIC</t>
        </is>
      </c>
      <c r="D515" s="6" t="inlineStr">
        <is>
          <t>met</t>
        </is>
      </c>
      <c r="E515" s="6" t="inlineStr">
        <is>
          <t>p22</t>
        </is>
      </c>
      <c r="F515" s="6" t="inlineStr">
        <is>
          <t>sweeping half of a pair</t>
        </is>
      </c>
    </row>
    <row r="516">
      <c r="A516" s="6" t="inlineStr">
        <is>
          <t>S027</t>
        </is>
      </c>
      <c r="B516" s="6" t="inlineStr">
        <is>
          <t>trap</t>
        </is>
      </c>
      <c r="C516" s="6" t="inlineStr">
        <is>
          <t>TRUE-ABS</t>
        </is>
      </c>
      <c r="D516" s="6" t="inlineStr">
        <is>
          <t>not_met</t>
        </is>
      </c>
      <c r="E516" s="6" t="inlineStr"/>
      <c r="F516" s="6" t="inlineStr">
        <is>
          <t>math theorem, scoped to flat geometry</t>
        </is>
      </c>
    </row>
    <row r="517">
      <c r="A517" s="6" t="inlineStr">
        <is>
          <t>S028</t>
        </is>
      </c>
      <c r="B517" s="6" t="inlineStr">
        <is>
          <t>trap</t>
        </is>
      </c>
      <c r="C517" s="6" t="inlineStr">
        <is>
          <t>SCOPED</t>
        </is>
      </c>
      <c r="D517" s="6" t="inlineStr">
        <is>
          <t>not_met</t>
        </is>
      </c>
      <c r="E517" s="6" t="inlineStr"/>
      <c r="F517" s="6" t="inlineStr">
        <is>
          <t>absolute about a closed, stated group</t>
        </is>
      </c>
    </row>
    <row r="518">
      <c r="A518" s="6" t="inlineStr">
        <is>
          <t>S029</t>
        </is>
      </c>
      <c r="B518" s="6" t="inlineStr">
        <is>
          <t>trap</t>
        </is>
      </c>
      <c r="C518" s="6" t="inlineStr">
        <is>
          <t>REPORTED</t>
        </is>
      </c>
      <c r="D518" s="6" t="inlineStr">
        <is>
          <t>not_met</t>
        </is>
      </c>
      <c r="E518" s="6" t="inlineStr"/>
      <c r="F518" s="6" t="inlineStr">
        <is>
          <t>reports and rejects a claim</t>
        </is>
      </c>
    </row>
    <row r="519">
      <c r="A519" s="6" t="inlineStr">
        <is>
          <t>S030</t>
        </is>
      </c>
      <c r="B519" s="6" t="inlineStr">
        <is>
          <t>pair</t>
        </is>
      </c>
      <c r="C519" s="6" t="inlineStr">
        <is>
          <t>PAIR-HEDGED</t>
        </is>
      </c>
      <c r="D519" s="6" t="inlineStr">
        <is>
          <t>not_met</t>
        </is>
      </c>
      <c r="E519" s="6" t="inlineStr">
        <is>
          <t>p18</t>
        </is>
      </c>
      <c r="F519" s="6" t="inlineStr">
        <is>
          <t>hedged half of a pair</t>
        </is>
      </c>
    </row>
    <row r="520">
      <c r="A520" s="6" t="inlineStr">
        <is>
          <t>S031</t>
        </is>
      </c>
      <c r="B520" s="6" t="inlineStr">
        <is>
          <t>trap</t>
        </is>
      </c>
      <c r="C520" s="6" t="inlineStr">
        <is>
          <t>SCOPED</t>
        </is>
      </c>
      <c r="D520" s="6" t="inlineStr">
        <is>
          <t>not_met</t>
        </is>
      </c>
      <c r="E520" s="6" t="inlineStr"/>
      <c r="F520" s="6" t="inlineStr">
        <is>
          <t>closed group</t>
        </is>
      </c>
    </row>
    <row r="521">
      <c r="A521" s="6" t="inlineStr">
        <is>
          <t>S032</t>
        </is>
      </c>
      <c r="B521" s="6" t="inlineStr">
        <is>
          <t>pair</t>
        </is>
      </c>
      <c r="C521" s="6" t="inlineStr">
        <is>
          <t>SWEEP-ABS</t>
        </is>
      </c>
      <c r="D521" s="6" t="inlineStr">
        <is>
          <t>met</t>
        </is>
      </c>
      <c r="E521" s="6" t="inlineStr">
        <is>
          <t>p02</t>
        </is>
      </c>
      <c r="F521" s="6" t="inlineStr">
        <is>
          <t>sweeping half of a pair</t>
        </is>
      </c>
    </row>
    <row r="522">
      <c r="A522" s="6" t="inlineStr">
        <is>
          <t>S033</t>
        </is>
      </c>
      <c r="B522" s="6" t="inlineStr">
        <is>
          <t>pair</t>
        </is>
      </c>
      <c r="C522" s="6" t="inlineStr">
        <is>
          <t>PAIR-HEDGED</t>
        </is>
      </c>
      <c r="D522" s="6" t="inlineStr">
        <is>
          <t>not_met</t>
        </is>
      </c>
      <c r="E522" s="6" t="inlineStr">
        <is>
          <t>p30</t>
        </is>
      </c>
      <c r="F522" s="6" t="inlineStr">
        <is>
          <t>hedged half of a pair</t>
        </is>
      </c>
    </row>
    <row r="523">
      <c r="A523" s="6" t="inlineStr">
        <is>
          <t>S034</t>
        </is>
      </c>
      <c r="B523" s="6" t="inlineStr">
        <is>
          <t>pair</t>
        </is>
      </c>
      <c r="C523" s="6" t="inlineStr">
        <is>
          <t>PAIR-HEDGED</t>
        </is>
      </c>
      <c r="D523" s="6" t="inlineStr">
        <is>
          <t>not_met</t>
        </is>
      </c>
      <c r="E523" s="6" t="inlineStr">
        <is>
          <t>p23</t>
        </is>
      </c>
      <c r="F523" s="6" t="inlineStr">
        <is>
          <t>hedged half of a pair</t>
        </is>
      </c>
    </row>
    <row r="524">
      <c r="A524" s="6" t="inlineStr">
        <is>
          <t>S035</t>
        </is>
      </c>
      <c r="B524" s="6" t="inlineStr">
        <is>
          <t>trap</t>
        </is>
      </c>
      <c r="C524" s="6" t="inlineStr">
        <is>
          <t>HEDGED</t>
        </is>
      </c>
      <c r="D524" s="6" t="inlineStr">
        <is>
          <t>not_met</t>
        </is>
      </c>
      <c r="E524" s="6" t="inlineStr"/>
      <c r="F524" s="6" t="inlineStr">
        <is>
          <t>'may', 'some'</t>
        </is>
      </c>
    </row>
    <row r="525">
      <c r="A525" s="6" t="inlineStr">
        <is>
          <t>S036</t>
        </is>
      </c>
      <c r="B525" s="6" t="inlineStr">
        <is>
          <t>pair</t>
        </is>
      </c>
      <c r="C525" s="6" t="inlineStr">
        <is>
          <t>SWEEP-ABS</t>
        </is>
      </c>
      <c r="D525" s="6" t="inlineStr">
        <is>
          <t>met</t>
        </is>
      </c>
      <c r="E525" s="6" t="inlineStr">
        <is>
          <t>p27</t>
        </is>
      </c>
      <c r="F525" s="6" t="inlineStr">
        <is>
          <t>sweeping half of a pair</t>
        </is>
      </c>
    </row>
    <row r="526">
      <c r="A526" s="6" t="inlineStr">
        <is>
          <t>S037</t>
        </is>
      </c>
      <c r="B526" s="6" t="inlineStr">
        <is>
          <t>pair</t>
        </is>
      </c>
      <c r="C526" s="6" t="inlineStr">
        <is>
          <t>SWEEP-ABS</t>
        </is>
      </c>
      <c r="D526" s="6" t="inlineStr">
        <is>
          <t>met</t>
        </is>
      </c>
      <c r="E526" s="6" t="inlineStr">
        <is>
          <t>p06</t>
        </is>
      </c>
      <c r="F526" s="6" t="inlineStr">
        <is>
          <t>sweeping half of a pair</t>
        </is>
      </c>
    </row>
    <row r="527">
      <c r="A527" s="6" t="inlineStr">
        <is>
          <t>S038</t>
        </is>
      </c>
      <c r="B527" s="6" t="inlineStr">
        <is>
          <t>pair</t>
        </is>
      </c>
      <c r="C527" s="6" t="inlineStr">
        <is>
          <t>PAIR-HEDGED</t>
        </is>
      </c>
      <c r="D527" s="6" t="inlineStr">
        <is>
          <t>not_met</t>
        </is>
      </c>
      <c r="E527" s="6" t="inlineStr">
        <is>
          <t>p33</t>
        </is>
      </c>
      <c r="F527" s="6" t="inlineStr">
        <is>
          <t>hedged half of a pair</t>
        </is>
      </c>
    </row>
    <row r="528">
      <c r="A528" s="6" t="inlineStr">
        <is>
          <t>S039</t>
        </is>
      </c>
      <c r="B528" s="6" t="inlineStr">
        <is>
          <t>pair</t>
        </is>
      </c>
      <c r="C528" s="6" t="inlineStr">
        <is>
          <t>SWEEP-ABS</t>
        </is>
      </c>
      <c r="D528" s="6" t="inlineStr">
        <is>
          <t>met</t>
        </is>
      </c>
      <c r="E528" s="6" t="inlineStr">
        <is>
          <t>p17</t>
        </is>
      </c>
      <c r="F528" s="6" t="inlineStr">
        <is>
          <t>sweeping half of a pair</t>
        </is>
      </c>
    </row>
    <row r="529">
      <c r="A529" s="6" t="inlineStr">
        <is>
          <t>S040</t>
        </is>
      </c>
      <c r="B529" s="6" t="inlineStr">
        <is>
          <t>pair</t>
        </is>
      </c>
      <c r="C529" s="6" t="inlineStr">
        <is>
          <t>SWEEP-ABS</t>
        </is>
      </c>
      <c r="D529" s="6" t="inlineStr">
        <is>
          <t>met</t>
        </is>
      </c>
      <c r="E529" s="6" t="inlineStr">
        <is>
          <t>p34</t>
        </is>
      </c>
      <c r="F529" s="6" t="inlineStr">
        <is>
          <t>sweeping half of a pair</t>
        </is>
      </c>
    </row>
    <row r="530">
      <c r="A530" s="6" t="inlineStr">
        <is>
          <t>S041</t>
        </is>
      </c>
      <c r="B530" s="6" t="inlineStr">
        <is>
          <t>trap</t>
        </is>
      </c>
      <c r="C530" s="6" t="inlineStr">
        <is>
          <t>REPORTED</t>
        </is>
      </c>
      <c r="D530" s="6" t="inlineStr">
        <is>
          <t>not_met</t>
        </is>
      </c>
      <c r="E530" s="6" t="inlineStr"/>
      <c r="F530" s="6" t="inlineStr">
        <is>
          <t>reports opponents' view</t>
        </is>
      </c>
    </row>
    <row r="531">
      <c r="A531" s="6" t="inlineStr">
        <is>
          <t>S042</t>
        </is>
      </c>
      <c r="B531" s="6" t="inlineStr">
        <is>
          <t>pair</t>
        </is>
      </c>
      <c r="C531" s="6" t="inlineStr">
        <is>
          <t>SWEEP-ABS</t>
        </is>
      </c>
      <c r="D531" s="6" t="inlineStr">
        <is>
          <t>met</t>
        </is>
      </c>
      <c r="E531" s="6" t="inlineStr">
        <is>
          <t>p20</t>
        </is>
      </c>
      <c r="F531" s="6" t="inlineStr">
        <is>
          <t>sweeping half of a pair</t>
        </is>
      </c>
    </row>
    <row r="532">
      <c r="A532" s="6" t="inlineStr">
        <is>
          <t>S043</t>
        </is>
      </c>
      <c r="B532" s="6" t="inlineStr">
        <is>
          <t>pair</t>
        </is>
      </c>
      <c r="C532" s="6" t="inlineStr">
        <is>
          <t>SWEEP-SUPERLATIVE</t>
        </is>
      </c>
      <c r="D532" s="6" t="inlineStr">
        <is>
          <t>met</t>
        </is>
      </c>
      <c r="E532" s="6" t="inlineStr">
        <is>
          <t>p40</t>
        </is>
      </c>
      <c r="F532" s="6" t="inlineStr">
        <is>
          <t>sweeping half of a pair</t>
        </is>
      </c>
    </row>
    <row r="533">
      <c r="A533" s="6" t="inlineStr">
        <is>
          <t>S044</t>
        </is>
      </c>
      <c r="B533" s="6" t="inlineStr">
        <is>
          <t>trap</t>
        </is>
      </c>
      <c r="C533" s="6" t="inlineStr">
        <is>
          <t>TRUE-ABS</t>
        </is>
      </c>
      <c r="D533" s="6" t="inlineStr">
        <is>
          <t>not_met</t>
        </is>
      </c>
      <c r="E533" s="6" t="inlineStr"/>
      <c r="F533" s="6" t="inlineStr">
        <is>
          <t>definition</t>
        </is>
      </c>
    </row>
    <row r="534">
      <c r="A534" s="6" t="inlineStr">
        <is>
          <t>S045</t>
        </is>
      </c>
      <c r="B534" s="6" t="inlineStr">
        <is>
          <t>pair</t>
        </is>
      </c>
      <c r="C534" s="6" t="inlineStr">
        <is>
          <t>PAIR-HEDGED</t>
        </is>
      </c>
      <c r="D534" s="6" t="inlineStr">
        <is>
          <t>not_met</t>
        </is>
      </c>
      <c r="E534" s="6" t="inlineStr">
        <is>
          <t>p11</t>
        </is>
      </c>
      <c r="F534" s="6" t="inlineStr">
        <is>
          <t>hedged half of a pair</t>
        </is>
      </c>
    </row>
    <row r="535">
      <c r="A535" s="6" t="inlineStr">
        <is>
          <t>S046</t>
        </is>
      </c>
      <c r="B535" s="6" t="inlineStr">
        <is>
          <t>pair</t>
        </is>
      </c>
      <c r="C535" s="6" t="inlineStr">
        <is>
          <t>PAIR-HEDGED</t>
        </is>
      </c>
      <c r="D535" s="6" t="inlineStr">
        <is>
          <t>not_met</t>
        </is>
      </c>
      <c r="E535" s="6" t="inlineStr">
        <is>
          <t>p16</t>
        </is>
      </c>
      <c r="F535" s="6" t="inlineStr">
        <is>
          <t>hedged half of a pair</t>
        </is>
      </c>
    </row>
    <row r="536">
      <c r="A536" s="6" t="inlineStr">
        <is>
          <t>S047</t>
        </is>
      </c>
      <c r="B536" s="6" t="inlineStr">
        <is>
          <t>pair</t>
        </is>
      </c>
      <c r="C536" s="6" t="inlineStr">
        <is>
          <t>PAIR-HEDGED</t>
        </is>
      </c>
      <c r="D536" s="6" t="inlineStr">
        <is>
          <t>not_met</t>
        </is>
      </c>
      <c r="E536" s="6" t="inlineStr">
        <is>
          <t>p17</t>
        </is>
      </c>
      <c r="F536" s="6" t="inlineStr">
        <is>
          <t>hedged half of a pair</t>
        </is>
      </c>
    </row>
    <row r="537">
      <c r="A537" s="6" t="inlineStr">
        <is>
          <t>S048</t>
        </is>
      </c>
      <c r="B537" s="6" t="inlineStr">
        <is>
          <t>pair</t>
        </is>
      </c>
      <c r="C537" s="6" t="inlineStr">
        <is>
          <t>SWEEP-ABS</t>
        </is>
      </c>
      <c r="D537" s="6" t="inlineStr">
        <is>
          <t>met</t>
        </is>
      </c>
      <c r="E537" s="6" t="inlineStr">
        <is>
          <t>p29</t>
        </is>
      </c>
      <c r="F537" s="6" t="inlineStr">
        <is>
          <t>sweeping half of a pair</t>
        </is>
      </c>
    </row>
    <row r="538">
      <c r="A538" s="6" t="inlineStr">
        <is>
          <t>S049</t>
        </is>
      </c>
      <c r="B538" s="6" t="inlineStr">
        <is>
          <t>pair</t>
        </is>
      </c>
      <c r="C538" s="6" t="inlineStr">
        <is>
          <t>SWEEP-GENERIC</t>
        </is>
      </c>
      <c r="D538" s="6" t="inlineStr">
        <is>
          <t>met</t>
        </is>
      </c>
      <c r="E538" s="6" t="inlineStr">
        <is>
          <t>p19</t>
        </is>
      </c>
      <c r="F538" s="6" t="inlineStr">
        <is>
          <t>sweeping half of a pair</t>
        </is>
      </c>
    </row>
    <row r="539">
      <c r="A539" s="6" t="inlineStr">
        <is>
          <t>S050</t>
        </is>
      </c>
      <c r="B539" s="6" t="inlineStr">
        <is>
          <t>trap</t>
        </is>
      </c>
      <c r="C539" s="6" t="inlineStr">
        <is>
          <t>HEDGED</t>
        </is>
      </c>
      <c r="D539" s="6" t="inlineStr">
        <is>
          <t>not_met</t>
        </is>
      </c>
      <c r="E539" s="6" t="inlineStr"/>
      <c r="F539" s="6" t="inlineStr">
        <is>
          <t>'in most cases'</t>
        </is>
      </c>
    </row>
    <row r="540">
      <c r="A540" s="6" t="inlineStr">
        <is>
          <t>S051</t>
        </is>
      </c>
      <c r="B540" s="6" t="inlineStr">
        <is>
          <t>trap</t>
        </is>
      </c>
      <c r="C540" s="6" t="inlineStr">
        <is>
          <t>SCOPED</t>
        </is>
      </c>
      <c r="D540" s="6" t="inlineStr">
        <is>
          <t>not_met</t>
        </is>
      </c>
      <c r="E540" s="6" t="inlineStr"/>
      <c r="F540" s="6" t="inlineStr">
        <is>
          <t>closed group</t>
        </is>
      </c>
    </row>
    <row r="541">
      <c r="A541" s="6" t="inlineStr">
        <is>
          <t>S052</t>
        </is>
      </c>
      <c r="B541" s="6" t="inlineStr">
        <is>
          <t>pair</t>
        </is>
      </c>
      <c r="C541" s="6" t="inlineStr">
        <is>
          <t>SWEEP-ABS</t>
        </is>
      </c>
      <c r="D541" s="6" t="inlineStr">
        <is>
          <t>met</t>
        </is>
      </c>
      <c r="E541" s="6" t="inlineStr">
        <is>
          <t>p32</t>
        </is>
      </c>
      <c r="F541" s="6" t="inlineStr">
        <is>
          <t>sweeping half of a pair</t>
        </is>
      </c>
    </row>
    <row r="542">
      <c r="A542" s="6" t="inlineStr">
        <is>
          <t>S053</t>
        </is>
      </c>
      <c r="B542" s="6" t="inlineStr">
        <is>
          <t>pair</t>
        </is>
      </c>
      <c r="C542" s="6" t="inlineStr">
        <is>
          <t>SWEEP-ABS</t>
        </is>
      </c>
      <c r="D542" s="6" t="inlineStr">
        <is>
          <t>met</t>
        </is>
      </c>
      <c r="E542" s="6" t="inlineStr">
        <is>
          <t>p23</t>
        </is>
      </c>
      <c r="F542" s="6" t="inlineStr">
        <is>
          <t>sweeping half of a pair</t>
        </is>
      </c>
    </row>
    <row r="543">
      <c r="A543" s="6" t="inlineStr">
        <is>
          <t>S054</t>
        </is>
      </c>
      <c r="B543" s="6" t="inlineStr">
        <is>
          <t>trap</t>
        </is>
      </c>
      <c r="C543" s="6" t="inlineStr">
        <is>
          <t>SCOPED</t>
        </is>
      </c>
      <c r="D543" s="6" t="inlineStr">
        <is>
          <t>not_met</t>
        </is>
      </c>
      <c r="E543" s="6" t="inlineStr"/>
      <c r="F543" s="6" t="inlineStr">
        <is>
          <t>closed group</t>
        </is>
      </c>
    </row>
    <row r="544">
      <c r="A544" s="6" t="inlineStr">
        <is>
          <t>S055</t>
        </is>
      </c>
      <c r="B544" s="6" t="inlineStr">
        <is>
          <t>trap</t>
        </is>
      </c>
      <c r="C544" s="6" t="inlineStr">
        <is>
          <t>TRUE-ABS</t>
        </is>
      </c>
      <c r="D544" s="6" t="inlineStr">
        <is>
          <t>not_met</t>
        </is>
      </c>
      <c r="E544" s="6" t="inlineStr"/>
      <c r="F544" s="6" t="inlineStr">
        <is>
          <t>language rule (tuples are immutable)</t>
        </is>
      </c>
    </row>
    <row r="545">
      <c r="A545" s="6" t="inlineStr">
        <is>
          <t>S056</t>
        </is>
      </c>
      <c r="B545" s="6" t="inlineStr">
        <is>
          <t>pair</t>
        </is>
      </c>
      <c r="C545" s="6" t="inlineStr">
        <is>
          <t>SWEEP-GENERIC</t>
        </is>
      </c>
      <c r="D545" s="6" t="inlineStr">
        <is>
          <t>met</t>
        </is>
      </c>
      <c r="E545" s="6" t="inlineStr">
        <is>
          <t>p39</t>
        </is>
      </c>
      <c r="F545" s="6" t="inlineStr">
        <is>
          <t>sweeping half of a pair</t>
        </is>
      </c>
    </row>
    <row r="546">
      <c r="A546" s="6" t="inlineStr">
        <is>
          <t>S057</t>
        </is>
      </c>
      <c r="B546" s="6" t="inlineStr">
        <is>
          <t>trap</t>
        </is>
      </c>
      <c r="C546" s="6" t="inlineStr">
        <is>
          <t>HEDGED</t>
        </is>
      </c>
      <c r="D546" s="6" t="inlineStr">
        <is>
          <t>not_met</t>
        </is>
      </c>
      <c r="E546" s="6" t="inlineStr"/>
      <c r="F546" s="6" t="inlineStr">
        <is>
          <t>'many, but not all'</t>
        </is>
      </c>
    </row>
    <row r="547">
      <c r="A547" s="6" t="inlineStr">
        <is>
          <t>S058</t>
        </is>
      </c>
      <c r="B547" s="6" t="inlineStr">
        <is>
          <t>trap</t>
        </is>
      </c>
      <c r="C547" s="6" t="inlineStr">
        <is>
          <t>RULE</t>
        </is>
      </c>
      <c r="D547" s="6" t="inlineStr">
        <is>
          <t>not_met</t>
        </is>
      </c>
      <c r="E547" s="6" t="inlineStr"/>
      <c r="F547" s="6" t="inlineStr">
        <is>
          <t>traffic law</t>
        </is>
      </c>
    </row>
    <row r="548">
      <c r="A548" s="6" t="inlineStr">
        <is>
          <t>S059</t>
        </is>
      </c>
      <c r="B548" s="6" t="inlineStr">
        <is>
          <t>pair</t>
        </is>
      </c>
      <c r="C548" s="6" t="inlineStr">
        <is>
          <t>SWEEP-ABS</t>
        </is>
      </c>
      <c r="D548" s="6" t="inlineStr">
        <is>
          <t>met</t>
        </is>
      </c>
      <c r="E548" s="6" t="inlineStr">
        <is>
          <t>p31</t>
        </is>
      </c>
      <c r="F548" s="6" t="inlineStr">
        <is>
          <t>sweeping half of a pair</t>
        </is>
      </c>
    </row>
    <row r="549">
      <c r="A549" s="6" t="inlineStr">
        <is>
          <t>S060</t>
        </is>
      </c>
      <c r="B549" s="6" t="inlineStr">
        <is>
          <t>trap</t>
        </is>
      </c>
      <c r="C549" s="6" t="inlineStr">
        <is>
          <t>TRUE-ABS</t>
        </is>
      </c>
      <c r="D549" s="6" t="inlineStr">
        <is>
          <t>not_met</t>
        </is>
      </c>
      <c r="E549" s="6" t="inlineStr"/>
      <c r="F549" s="6" t="inlineStr">
        <is>
          <t>cell theory</t>
        </is>
      </c>
    </row>
    <row r="550">
      <c r="A550" s="6" t="inlineStr">
        <is>
          <t>S061</t>
        </is>
      </c>
      <c r="B550" s="6" t="inlineStr">
        <is>
          <t>pair</t>
        </is>
      </c>
      <c r="C550" s="6" t="inlineStr">
        <is>
          <t>PAIR-HEDGED</t>
        </is>
      </c>
      <c r="D550" s="6" t="inlineStr">
        <is>
          <t>not_met</t>
        </is>
      </c>
      <c r="E550" s="6" t="inlineStr">
        <is>
          <t>p15</t>
        </is>
      </c>
      <c r="F550" s="6" t="inlineStr">
        <is>
          <t>hedged half of a pair</t>
        </is>
      </c>
    </row>
    <row r="551">
      <c r="A551" s="6" t="inlineStr">
        <is>
          <t>S062</t>
        </is>
      </c>
      <c r="B551" s="6" t="inlineStr">
        <is>
          <t>pair</t>
        </is>
      </c>
      <c r="C551" s="6" t="inlineStr">
        <is>
          <t>SWEEP-ABS</t>
        </is>
      </c>
      <c r="D551" s="6" t="inlineStr">
        <is>
          <t>met</t>
        </is>
      </c>
      <c r="E551" s="6" t="inlineStr">
        <is>
          <t>p11</t>
        </is>
      </c>
      <c r="F551" s="6" t="inlineStr">
        <is>
          <t>sweeping half of a pair</t>
        </is>
      </c>
    </row>
    <row r="552">
      <c r="A552" s="6" t="inlineStr">
        <is>
          <t>S063</t>
        </is>
      </c>
      <c r="B552" s="6" t="inlineStr">
        <is>
          <t>pair</t>
        </is>
      </c>
      <c r="C552" s="6" t="inlineStr">
        <is>
          <t>PAIR-HEDGED</t>
        </is>
      </c>
      <c r="D552" s="6" t="inlineStr">
        <is>
          <t>not_met</t>
        </is>
      </c>
      <c r="E552" s="6" t="inlineStr">
        <is>
          <t>p25</t>
        </is>
      </c>
      <c r="F552" s="6" t="inlineStr">
        <is>
          <t>hedged half of a pair</t>
        </is>
      </c>
    </row>
    <row r="553">
      <c r="A553" s="6" t="inlineStr">
        <is>
          <t>S064</t>
        </is>
      </c>
      <c r="B553" s="6" t="inlineStr">
        <is>
          <t>trap</t>
        </is>
      </c>
      <c r="C553" s="6" t="inlineStr">
        <is>
          <t>RULE</t>
        </is>
      </c>
      <c r="D553" s="6" t="inlineStr">
        <is>
          <t>not_met</t>
        </is>
      </c>
      <c r="E553" s="6" t="inlineStr"/>
      <c r="F553" s="6" t="inlineStr">
        <is>
          <t>institutional requirement</t>
        </is>
      </c>
    </row>
    <row r="554">
      <c r="A554" s="6" t="inlineStr">
        <is>
          <t>S065</t>
        </is>
      </c>
      <c r="B554" s="6" t="inlineStr">
        <is>
          <t>pair</t>
        </is>
      </c>
      <c r="C554" s="6" t="inlineStr">
        <is>
          <t>PAIR-HEDGED</t>
        </is>
      </c>
      <c r="D554" s="6" t="inlineStr">
        <is>
          <t>not_met</t>
        </is>
      </c>
      <c r="E554" s="6" t="inlineStr">
        <is>
          <t>p32</t>
        </is>
      </c>
      <c r="F554" s="6" t="inlineStr">
        <is>
          <t>hedged half of a pair</t>
        </is>
      </c>
    </row>
    <row r="555">
      <c r="A555" s="6" t="inlineStr">
        <is>
          <t>S066</t>
        </is>
      </c>
      <c r="B555" s="6" t="inlineStr">
        <is>
          <t>pair</t>
        </is>
      </c>
      <c r="C555" s="6" t="inlineStr">
        <is>
          <t>SWEEP-GENERIC</t>
        </is>
      </c>
      <c r="D555" s="6" t="inlineStr">
        <is>
          <t>met</t>
        </is>
      </c>
      <c r="E555" s="6" t="inlineStr">
        <is>
          <t>p14</t>
        </is>
      </c>
      <c r="F555" s="6" t="inlineStr">
        <is>
          <t>sweeping half of a pair</t>
        </is>
      </c>
    </row>
    <row r="556">
      <c r="A556" s="6" t="inlineStr">
        <is>
          <t>S067</t>
        </is>
      </c>
      <c r="B556" s="6" t="inlineStr">
        <is>
          <t>trap</t>
        </is>
      </c>
      <c r="C556" s="6" t="inlineStr">
        <is>
          <t>TRUE-ABS</t>
        </is>
      </c>
      <c r="D556" s="6" t="inlineStr">
        <is>
          <t>not_met</t>
        </is>
      </c>
      <c r="E556" s="6" t="inlineStr"/>
      <c r="F556" s="6" t="inlineStr">
        <is>
          <t>tidal locking</t>
        </is>
      </c>
    </row>
    <row r="557">
      <c r="A557" s="6" t="inlineStr">
        <is>
          <t>S068</t>
        </is>
      </c>
      <c r="B557" s="6" t="inlineStr">
        <is>
          <t>trap</t>
        </is>
      </c>
      <c r="C557" s="6" t="inlineStr">
        <is>
          <t>SCOPED</t>
        </is>
      </c>
      <c r="D557" s="6" t="inlineStr">
        <is>
          <t>not_met</t>
        </is>
      </c>
      <c r="E557" s="6" t="inlineStr"/>
      <c r="F557" s="6" t="inlineStr">
        <is>
          <t>true about a closed set</t>
        </is>
      </c>
    </row>
    <row r="558">
      <c r="A558" s="6" t="inlineStr">
        <is>
          <t>S069</t>
        </is>
      </c>
      <c r="B558" s="6" t="inlineStr">
        <is>
          <t>trap</t>
        </is>
      </c>
      <c r="C558" s="6" t="inlineStr">
        <is>
          <t>REPORTED</t>
        </is>
      </c>
      <c r="D558" s="6" t="inlineStr">
        <is>
          <t>not_met</t>
        </is>
      </c>
      <c r="E558" s="6" t="inlineStr"/>
      <c r="F558" s="6" t="inlineStr">
        <is>
          <t>reports supporters' view</t>
        </is>
      </c>
    </row>
    <row r="559">
      <c r="A559" s="6" t="inlineStr">
        <is>
          <t>S070</t>
        </is>
      </c>
      <c r="B559" s="6" t="inlineStr">
        <is>
          <t>pair</t>
        </is>
      </c>
      <c r="C559" s="6" t="inlineStr">
        <is>
          <t>PAIR-HEDGED</t>
        </is>
      </c>
      <c r="D559" s="6" t="inlineStr">
        <is>
          <t>not_met</t>
        </is>
      </c>
      <c r="E559" s="6" t="inlineStr">
        <is>
          <t>p24</t>
        </is>
      </c>
      <c r="F559" s="6" t="inlineStr">
        <is>
          <t>hedged half of a pair</t>
        </is>
      </c>
    </row>
    <row r="560">
      <c r="A560" s="6" t="inlineStr">
        <is>
          <t>S071</t>
        </is>
      </c>
      <c r="B560" s="6" t="inlineStr">
        <is>
          <t>pair</t>
        </is>
      </c>
      <c r="C560" s="6" t="inlineStr">
        <is>
          <t>SWEEP-GENERIC</t>
        </is>
      </c>
      <c r="D560" s="6" t="inlineStr">
        <is>
          <t>met</t>
        </is>
      </c>
      <c r="E560" s="6" t="inlineStr">
        <is>
          <t>p13</t>
        </is>
      </c>
      <c r="F560" s="6" t="inlineStr">
        <is>
          <t>sweeping half of a pair</t>
        </is>
      </c>
    </row>
    <row r="561">
      <c r="A561" s="6" t="inlineStr">
        <is>
          <t>S072</t>
        </is>
      </c>
      <c r="B561" s="6" t="inlineStr">
        <is>
          <t>pair</t>
        </is>
      </c>
      <c r="C561" s="6" t="inlineStr">
        <is>
          <t>PAIR-HEDGED</t>
        </is>
      </c>
      <c r="D561" s="6" t="inlineStr">
        <is>
          <t>not_met</t>
        </is>
      </c>
      <c r="E561" s="6" t="inlineStr">
        <is>
          <t>p07</t>
        </is>
      </c>
      <c r="F561" s="6" t="inlineStr">
        <is>
          <t>hedged half of a pair</t>
        </is>
      </c>
    </row>
    <row r="562">
      <c r="A562" s="6" t="inlineStr">
        <is>
          <t>S073</t>
        </is>
      </c>
      <c r="B562" s="6" t="inlineStr">
        <is>
          <t>pair</t>
        </is>
      </c>
      <c r="C562" s="6" t="inlineStr">
        <is>
          <t>PAIR-HEDGED</t>
        </is>
      </c>
      <c r="D562" s="6" t="inlineStr">
        <is>
          <t>not_met</t>
        </is>
      </c>
      <c r="E562" s="6" t="inlineStr">
        <is>
          <t>p12</t>
        </is>
      </c>
      <c r="F562" s="6" t="inlineStr">
        <is>
          <t>hedged half of a pair</t>
        </is>
      </c>
    </row>
    <row r="563">
      <c r="A563" s="6" t="inlineStr">
        <is>
          <t>S074</t>
        </is>
      </c>
      <c r="B563" s="6" t="inlineStr">
        <is>
          <t>trap</t>
        </is>
      </c>
      <c r="C563" s="6" t="inlineStr">
        <is>
          <t>TRUE-ABS</t>
        </is>
      </c>
      <c r="D563" s="6" t="inlineStr">
        <is>
          <t>not_met</t>
        </is>
      </c>
      <c r="E563" s="6" t="inlineStr"/>
      <c r="F563" s="6" t="inlineStr">
        <is>
          <t>math fact</t>
        </is>
      </c>
    </row>
    <row r="564">
      <c r="A564" s="6" t="inlineStr">
        <is>
          <t>S075</t>
        </is>
      </c>
      <c r="B564" s="6" t="inlineStr">
        <is>
          <t>pair</t>
        </is>
      </c>
      <c r="C564" s="6" t="inlineStr">
        <is>
          <t>PAIR-HEDGED</t>
        </is>
      </c>
      <c r="D564" s="6" t="inlineStr">
        <is>
          <t>not_met</t>
        </is>
      </c>
      <c r="E564" s="6" t="inlineStr">
        <is>
          <t>p20</t>
        </is>
      </c>
      <c r="F564" s="6" t="inlineStr">
        <is>
          <t>hedged half of a pair</t>
        </is>
      </c>
    </row>
    <row r="565">
      <c r="A565" s="6" t="inlineStr">
        <is>
          <t>S076</t>
        </is>
      </c>
      <c r="B565" s="6" t="inlineStr">
        <is>
          <t>trap</t>
        </is>
      </c>
      <c r="C565" s="6" t="inlineStr">
        <is>
          <t>TRUE-ABS</t>
        </is>
      </c>
      <c r="D565" s="6" t="inlineStr">
        <is>
          <t>not_met</t>
        </is>
      </c>
      <c r="E565" s="6" t="inlineStr"/>
      <c r="F565" s="6" t="inlineStr">
        <is>
          <t>definition</t>
        </is>
      </c>
    </row>
    <row r="566">
      <c r="A566" s="6" t="inlineStr">
        <is>
          <t>S077</t>
        </is>
      </c>
      <c r="B566" s="6" t="inlineStr">
        <is>
          <t>trap</t>
        </is>
      </c>
      <c r="C566" s="6" t="inlineStr">
        <is>
          <t>RULE</t>
        </is>
      </c>
      <c r="D566" s="6" t="inlineStr">
        <is>
          <t>not_met</t>
        </is>
      </c>
      <c r="E566" s="6" t="inlineStr"/>
      <c r="F566" s="6" t="inlineStr">
        <is>
          <t>game rule</t>
        </is>
      </c>
    </row>
    <row r="567">
      <c r="A567" s="6" t="inlineStr">
        <is>
          <t>S078</t>
        </is>
      </c>
      <c r="B567" s="6" t="inlineStr">
        <is>
          <t>pair</t>
        </is>
      </c>
      <c r="C567" s="6" t="inlineStr">
        <is>
          <t>PAIR-HEDGED</t>
        </is>
      </c>
      <c r="D567" s="6" t="inlineStr">
        <is>
          <t>not_met</t>
        </is>
      </c>
      <c r="E567" s="6" t="inlineStr">
        <is>
          <t>p35</t>
        </is>
      </c>
      <c r="F567" s="6" t="inlineStr">
        <is>
          <t>hedged half of a pair</t>
        </is>
      </c>
    </row>
    <row r="568">
      <c r="A568" s="6" t="inlineStr">
        <is>
          <t>S079</t>
        </is>
      </c>
      <c r="B568" s="6" t="inlineStr">
        <is>
          <t>pair</t>
        </is>
      </c>
      <c r="C568" s="6" t="inlineStr">
        <is>
          <t>SWEEP-ABS</t>
        </is>
      </c>
      <c r="D568" s="6" t="inlineStr">
        <is>
          <t>met</t>
        </is>
      </c>
      <c r="E568" s="6" t="inlineStr">
        <is>
          <t>p10</t>
        </is>
      </c>
      <c r="F568" s="6" t="inlineStr">
        <is>
          <t>sweeping half of a pair</t>
        </is>
      </c>
    </row>
    <row r="569">
      <c r="A569" s="6" t="inlineStr">
        <is>
          <t>S080</t>
        </is>
      </c>
      <c r="B569" s="6" t="inlineStr">
        <is>
          <t>trap</t>
        </is>
      </c>
      <c r="C569" s="6" t="inlineStr">
        <is>
          <t>SCOPED</t>
        </is>
      </c>
      <c r="D569" s="6" t="inlineStr">
        <is>
          <t>not_met</t>
        </is>
      </c>
      <c r="E569" s="6" t="inlineStr"/>
      <c r="F569" s="6" t="inlineStr">
        <is>
          <t>closed group</t>
        </is>
      </c>
    </row>
    <row r="570">
      <c r="A570" s="6" t="inlineStr">
        <is>
          <t>S081</t>
        </is>
      </c>
      <c r="B570" s="6" t="inlineStr">
        <is>
          <t>pair</t>
        </is>
      </c>
      <c r="C570" s="6" t="inlineStr">
        <is>
          <t>PAIR-HEDGED</t>
        </is>
      </c>
      <c r="D570" s="6" t="inlineStr">
        <is>
          <t>not_met</t>
        </is>
      </c>
      <c r="E570" s="6" t="inlineStr">
        <is>
          <t>p19</t>
        </is>
      </c>
      <c r="F570" s="6" t="inlineStr">
        <is>
          <t>hedged half of a pair</t>
        </is>
      </c>
    </row>
    <row r="571">
      <c r="A571" s="6" t="inlineStr">
        <is>
          <t>S082</t>
        </is>
      </c>
      <c r="B571" s="6" t="inlineStr">
        <is>
          <t>pair</t>
        </is>
      </c>
      <c r="C571" s="6" t="inlineStr">
        <is>
          <t>PAIR-HEDGED</t>
        </is>
      </c>
      <c r="D571" s="6" t="inlineStr">
        <is>
          <t>not_met</t>
        </is>
      </c>
      <c r="E571" s="6" t="inlineStr">
        <is>
          <t>p09</t>
        </is>
      </c>
      <c r="F571" s="6" t="inlineStr">
        <is>
          <t>hedged half of a pair</t>
        </is>
      </c>
    </row>
    <row r="572">
      <c r="A572" s="6" t="inlineStr">
        <is>
          <t>S083</t>
        </is>
      </c>
      <c r="B572" s="6" t="inlineStr">
        <is>
          <t>pair</t>
        </is>
      </c>
      <c r="C572" s="6" t="inlineStr">
        <is>
          <t>PAIR-HEDGED</t>
        </is>
      </c>
      <c r="D572" s="6" t="inlineStr">
        <is>
          <t>not_met</t>
        </is>
      </c>
      <c r="E572" s="6" t="inlineStr">
        <is>
          <t>p36</t>
        </is>
      </c>
      <c r="F572" s="6" t="inlineStr">
        <is>
          <t>hedged half of a pair</t>
        </is>
      </c>
    </row>
    <row r="573">
      <c r="A573" s="6" t="inlineStr">
        <is>
          <t>S084</t>
        </is>
      </c>
      <c r="B573" s="6" t="inlineStr">
        <is>
          <t>pair</t>
        </is>
      </c>
      <c r="C573" s="6" t="inlineStr">
        <is>
          <t>PAIR-HEDGED</t>
        </is>
      </c>
      <c r="D573" s="6" t="inlineStr">
        <is>
          <t>not_met</t>
        </is>
      </c>
      <c r="E573" s="6" t="inlineStr">
        <is>
          <t>p03</t>
        </is>
      </c>
      <c r="F573" s="6" t="inlineStr">
        <is>
          <t>hedged half of a pair</t>
        </is>
      </c>
    </row>
    <row r="574">
      <c r="A574" s="6" t="inlineStr">
        <is>
          <t>S085</t>
        </is>
      </c>
      <c r="B574" s="6" t="inlineStr">
        <is>
          <t>trap</t>
        </is>
      </c>
      <c r="C574" s="6" t="inlineStr">
        <is>
          <t>RULE</t>
        </is>
      </c>
      <c r="D574" s="6" t="inlineStr">
        <is>
          <t>not_met</t>
        </is>
      </c>
      <c r="E574" s="6" t="inlineStr"/>
      <c r="F574" s="6" t="inlineStr">
        <is>
          <t>game rule</t>
        </is>
      </c>
    </row>
    <row r="575">
      <c r="A575" s="6" t="inlineStr">
        <is>
          <t>S086</t>
        </is>
      </c>
      <c r="B575" s="6" t="inlineStr">
        <is>
          <t>trap</t>
        </is>
      </c>
      <c r="C575" s="6" t="inlineStr">
        <is>
          <t>HEDGED</t>
        </is>
      </c>
      <c r="D575" s="6" t="inlineStr">
        <is>
          <t>not_met</t>
        </is>
      </c>
      <c r="E575" s="6" t="inlineStr"/>
      <c r="F575" s="6" t="inlineStr">
        <is>
          <t>states variation</t>
        </is>
      </c>
    </row>
    <row r="576">
      <c r="A576" s="6" t="inlineStr">
        <is>
          <t>S087</t>
        </is>
      </c>
      <c r="B576" s="6" t="inlineStr">
        <is>
          <t>trap</t>
        </is>
      </c>
      <c r="C576" s="6" t="inlineStr">
        <is>
          <t>HEDGED</t>
        </is>
      </c>
      <c r="D576" s="6" t="inlineStr">
        <is>
          <t>not_met</t>
        </is>
      </c>
      <c r="E576" s="6" t="inlineStr"/>
      <c r="F576" s="6" t="inlineStr">
        <is>
          <t>states uncertainty</t>
        </is>
      </c>
    </row>
    <row r="577">
      <c r="A577" s="6" t="inlineStr">
        <is>
          <t>S088</t>
        </is>
      </c>
      <c r="B577" s="6" t="inlineStr">
        <is>
          <t>trap</t>
        </is>
      </c>
      <c r="C577" s="6" t="inlineStr">
        <is>
          <t>TRUE-ABS</t>
        </is>
      </c>
      <c r="D577" s="6" t="inlineStr">
        <is>
          <t>not_met</t>
        </is>
      </c>
      <c r="E577" s="6" t="inlineStr"/>
      <c r="F577" s="6" t="inlineStr">
        <is>
          <t>physical law (the example in C4's own guidance)</t>
        </is>
      </c>
    </row>
    <row r="578">
      <c r="A578" s="6" t="inlineStr">
        <is>
          <t>S089</t>
        </is>
      </c>
      <c r="B578" s="6" t="inlineStr">
        <is>
          <t>pair</t>
        </is>
      </c>
      <c r="C578" s="6" t="inlineStr">
        <is>
          <t>PAIR-HEDGED</t>
        </is>
      </c>
      <c r="D578" s="6" t="inlineStr">
        <is>
          <t>not_met</t>
        </is>
      </c>
      <c r="E578" s="6" t="inlineStr">
        <is>
          <t>p37</t>
        </is>
      </c>
      <c r="F578" s="6" t="inlineStr">
        <is>
          <t>hedged half of a pair</t>
        </is>
      </c>
    </row>
    <row r="579">
      <c r="A579" s="6" t="inlineStr">
        <is>
          <t>S090</t>
        </is>
      </c>
      <c r="B579" s="6" t="inlineStr">
        <is>
          <t>trap</t>
        </is>
      </c>
      <c r="C579" s="6" t="inlineStr">
        <is>
          <t>RULE</t>
        </is>
      </c>
      <c r="D579" s="6" t="inlineStr">
        <is>
          <t>not_met</t>
        </is>
      </c>
      <c r="E579" s="6" t="inlineStr"/>
      <c r="F579" s="6" t="inlineStr">
        <is>
          <t>compulsory voting law</t>
        </is>
      </c>
    </row>
    <row r="580">
      <c r="A580" s="6" t="inlineStr">
        <is>
          <t>S091</t>
        </is>
      </c>
      <c r="B580" s="6" t="inlineStr">
        <is>
          <t>trap</t>
        </is>
      </c>
      <c r="C580" s="6" t="inlineStr">
        <is>
          <t>REPORTED</t>
        </is>
      </c>
      <c r="D580" s="6" t="inlineStr">
        <is>
          <t>not_met</t>
        </is>
      </c>
      <c r="E580" s="6" t="inlineStr"/>
      <c r="F580" s="6" t="inlineStr">
        <is>
          <t>reports a saying</t>
        </is>
      </c>
    </row>
    <row r="581">
      <c r="A581" s="6" t="inlineStr">
        <is>
          <t>S092</t>
        </is>
      </c>
      <c r="B581" s="6" t="inlineStr">
        <is>
          <t>trap</t>
        </is>
      </c>
      <c r="C581" s="6" t="inlineStr">
        <is>
          <t>RULE</t>
        </is>
      </c>
      <c r="D581" s="6" t="inlineStr">
        <is>
          <t>not_met</t>
        </is>
      </c>
      <c r="E581" s="6" t="inlineStr"/>
      <c r="F581" s="6" t="inlineStr">
        <is>
          <t>a policy, not a generalization</t>
        </is>
      </c>
    </row>
    <row r="582">
      <c r="A582" s="6" t="inlineStr">
        <is>
          <t>S093</t>
        </is>
      </c>
      <c r="B582" s="6" t="inlineStr">
        <is>
          <t>trap</t>
        </is>
      </c>
      <c r="C582" s="6" t="inlineStr">
        <is>
          <t>TRUE-ABS</t>
        </is>
      </c>
      <c r="D582" s="6" t="inlineStr">
        <is>
          <t>not_met</t>
        </is>
      </c>
      <c r="E582" s="6" t="inlineStr"/>
      <c r="F582" s="6" t="inlineStr">
        <is>
          <t>biological fact</t>
        </is>
      </c>
    </row>
    <row r="583">
      <c r="A583" s="6" t="inlineStr">
        <is>
          <t>S094</t>
        </is>
      </c>
      <c r="B583" s="6" t="inlineStr">
        <is>
          <t>pair</t>
        </is>
      </c>
      <c r="C583" s="6" t="inlineStr">
        <is>
          <t>SWEEP-ABS</t>
        </is>
      </c>
      <c r="D583" s="6" t="inlineStr">
        <is>
          <t>met</t>
        </is>
      </c>
      <c r="E583" s="6" t="inlineStr">
        <is>
          <t>p15</t>
        </is>
      </c>
      <c r="F583" s="6" t="inlineStr">
        <is>
          <t>sweeping half of a pair</t>
        </is>
      </c>
    </row>
    <row r="584">
      <c r="A584" s="6" t="inlineStr">
        <is>
          <t>S095</t>
        </is>
      </c>
      <c r="B584" s="6" t="inlineStr">
        <is>
          <t>pair</t>
        </is>
      </c>
      <c r="C584" s="6" t="inlineStr">
        <is>
          <t>PAIR-HEDGED</t>
        </is>
      </c>
      <c r="D584" s="6" t="inlineStr">
        <is>
          <t>not_met</t>
        </is>
      </c>
      <c r="E584" s="6" t="inlineStr">
        <is>
          <t>p08</t>
        </is>
      </c>
      <c r="F584" s="6" t="inlineStr">
        <is>
          <t>hedged half of a pair</t>
        </is>
      </c>
    </row>
    <row r="585">
      <c r="A585" s="6" t="inlineStr">
        <is>
          <t>S096</t>
        </is>
      </c>
      <c r="B585" s="6" t="inlineStr">
        <is>
          <t>pair</t>
        </is>
      </c>
      <c r="C585" s="6" t="inlineStr">
        <is>
          <t>SWEEP-SUPERLATIVE</t>
        </is>
      </c>
      <c r="D585" s="6" t="inlineStr">
        <is>
          <t>met</t>
        </is>
      </c>
      <c r="E585" s="6" t="inlineStr">
        <is>
          <t>p37</t>
        </is>
      </c>
      <c r="F585" s="6" t="inlineStr">
        <is>
          <t>sweeping half of a pair</t>
        </is>
      </c>
    </row>
    <row r="586">
      <c r="A586" s="6" t="inlineStr">
        <is>
          <t>S097</t>
        </is>
      </c>
      <c r="B586" s="6" t="inlineStr">
        <is>
          <t>trap</t>
        </is>
      </c>
      <c r="C586" s="6" t="inlineStr">
        <is>
          <t>REPORTED</t>
        </is>
      </c>
      <c r="D586" s="6" t="inlineStr">
        <is>
          <t>not_met</t>
        </is>
      </c>
      <c r="E586" s="6" t="inlineStr"/>
      <c r="F586" s="6" t="inlineStr">
        <is>
          <t>reports a belief</t>
        </is>
      </c>
    </row>
    <row r="587">
      <c r="A587" s="6" t="inlineStr">
        <is>
          <t>S098</t>
        </is>
      </c>
      <c r="B587" s="6" t="inlineStr">
        <is>
          <t>pair</t>
        </is>
      </c>
      <c r="C587" s="6" t="inlineStr">
        <is>
          <t>SWEEP-ABS</t>
        </is>
      </c>
      <c r="D587" s="6" t="inlineStr">
        <is>
          <t>met</t>
        </is>
      </c>
      <c r="E587" s="6" t="inlineStr">
        <is>
          <t>p28</t>
        </is>
      </c>
      <c r="F587" s="6" t="inlineStr">
        <is>
          <t>sweeping half of a pair</t>
        </is>
      </c>
    </row>
    <row r="588">
      <c r="A588" s="6" t="inlineStr">
        <is>
          <t>S099</t>
        </is>
      </c>
      <c r="B588" s="6" t="inlineStr">
        <is>
          <t>pair</t>
        </is>
      </c>
      <c r="C588" s="6" t="inlineStr">
        <is>
          <t>SWEEP-GENERIC</t>
        </is>
      </c>
      <c r="D588" s="6" t="inlineStr">
        <is>
          <t>met</t>
        </is>
      </c>
      <c r="E588" s="6" t="inlineStr">
        <is>
          <t>p36</t>
        </is>
      </c>
      <c r="F588" s="6" t="inlineStr">
        <is>
          <t>sweeping half of a pair</t>
        </is>
      </c>
    </row>
    <row r="589">
      <c r="A589" s="6" t="inlineStr">
        <is>
          <t>S100</t>
        </is>
      </c>
      <c r="B589" s="6" t="inlineStr">
        <is>
          <t>trap</t>
        </is>
      </c>
      <c r="C589" s="6" t="inlineStr">
        <is>
          <t>SCOPED</t>
        </is>
      </c>
      <c r="D589" s="6" t="inlineStr">
        <is>
          <t>not_met</t>
        </is>
      </c>
      <c r="E589" s="6" t="inlineStr"/>
      <c r="F589" s="6" t="inlineStr">
        <is>
          <t>true about a closed set</t>
        </is>
      </c>
    </row>
    <row r="590">
      <c r="A590" s="6" t="inlineStr">
        <is>
          <t>S101</t>
        </is>
      </c>
      <c r="B590" s="6" t="inlineStr">
        <is>
          <t>pair</t>
        </is>
      </c>
      <c r="C590" s="6" t="inlineStr">
        <is>
          <t>SWEEP-ABS</t>
        </is>
      </c>
      <c r="D590" s="6" t="inlineStr">
        <is>
          <t>met</t>
        </is>
      </c>
      <c r="E590" s="6" t="inlineStr">
        <is>
          <t>p16</t>
        </is>
      </c>
      <c r="F590" s="6" t="inlineStr">
        <is>
          <t>sweeping half of a pair</t>
        </is>
      </c>
    </row>
    <row r="591">
      <c r="A591" s="6" t="inlineStr">
        <is>
          <t>S102</t>
        </is>
      </c>
      <c r="B591" s="6" t="inlineStr">
        <is>
          <t>pair</t>
        </is>
      </c>
      <c r="C591" s="6" t="inlineStr">
        <is>
          <t>SWEEP-ABS</t>
        </is>
      </c>
      <c r="D591" s="6" t="inlineStr">
        <is>
          <t>met</t>
        </is>
      </c>
      <c r="E591" s="6" t="inlineStr">
        <is>
          <t>p05</t>
        </is>
      </c>
      <c r="F591" s="6" t="inlineStr">
        <is>
          <t>sweeping half of a pair</t>
        </is>
      </c>
    </row>
    <row r="592">
      <c r="A592" s="6" t="inlineStr">
        <is>
          <t>S103</t>
        </is>
      </c>
      <c r="B592" s="6" t="inlineStr">
        <is>
          <t>pair</t>
        </is>
      </c>
      <c r="C592" s="6" t="inlineStr">
        <is>
          <t>PAIR-HEDGED</t>
        </is>
      </c>
      <c r="D592" s="6" t="inlineStr">
        <is>
          <t>not_met</t>
        </is>
      </c>
      <c r="E592" s="6" t="inlineStr">
        <is>
          <t>p27</t>
        </is>
      </c>
      <c r="F592" s="6" t="inlineStr">
        <is>
          <t>hedged half of a pair</t>
        </is>
      </c>
    </row>
    <row r="593">
      <c r="A593" s="6" t="inlineStr">
        <is>
          <t>S104</t>
        </is>
      </c>
      <c r="B593" s="6" t="inlineStr">
        <is>
          <t>pair</t>
        </is>
      </c>
      <c r="C593" s="6" t="inlineStr">
        <is>
          <t>PAIR-HEDGED</t>
        </is>
      </c>
      <c r="D593" s="6" t="inlineStr">
        <is>
          <t>not_met</t>
        </is>
      </c>
      <c r="E593" s="6" t="inlineStr">
        <is>
          <t>p28</t>
        </is>
      </c>
      <c r="F593" s="6" t="inlineStr">
        <is>
          <t>hedged half of a pair</t>
        </is>
      </c>
    </row>
    <row r="594">
      <c r="A594" s="6" t="inlineStr">
        <is>
          <t>S105</t>
        </is>
      </c>
      <c r="B594" s="6" t="inlineStr">
        <is>
          <t>pair</t>
        </is>
      </c>
      <c r="C594" s="6" t="inlineStr">
        <is>
          <t>PAIR-HEDGED</t>
        </is>
      </c>
      <c r="D594" s="6" t="inlineStr">
        <is>
          <t>not_met</t>
        </is>
      </c>
      <c r="E594" s="6" t="inlineStr">
        <is>
          <t>p06</t>
        </is>
      </c>
      <c r="F594" s="6" t="inlineStr">
        <is>
          <t>hedged half of a pair</t>
        </is>
      </c>
    </row>
    <row r="595">
      <c r="A595" s="6" t="inlineStr">
        <is>
          <t>S106</t>
        </is>
      </c>
      <c r="B595" s="6" t="inlineStr">
        <is>
          <t>pair</t>
        </is>
      </c>
      <c r="C595" s="6" t="inlineStr">
        <is>
          <t>SWEEP-GENERIC</t>
        </is>
      </c>
      <c r="D595" s="6" t="inlineStr">
        <is>
          <t>met</t>
        </is>
      </c>
      <c r="E595" s="6" t="inlineStr">
        <is>
          <t>p03</t>
        </is>
      </c>
      <c r="F595" s="6" t="inlineStr">
        <is>
          <t>sweeping half of a pair</t>
        </is>
      </c>
    </row>
    <row r="596">
      <c r="A596" s="6" t="inlineStr">
        <is>
          <t>S107</t>
        </is>
      </c>
      <c r="B596" s="6" t="inlineStr">
        <is>
          <t>pair</t>
        </is>
      </c>
      <c r="C596" s="6" t="inlineStr">
        <is>
          <t>PAIR-HEDGED</t>
        </is>
      </c>
      <c r="D596" s="6" t="inlineStr">
        <is>
          <t>not_met</t>
        </is>
      </c>
      <c r="E596" s="6" t="inlineStr">
        <is>
          <t>p14</t>
        </is>
      </c>
      <c r="F596" s="6" t="inlineStr">
        <is>
          <t>hedged half of a pair</t>
        </is>
      </c>
    </row>
    <row r="597">
      <c r="A597" s="6" t="inlineStr">
        <is>
          <t>S108</t>
        </is>
      </c>
      <c r="B597" s="6" t="inlineStr">
        <is>
          <t>pair</t>
        </is>
      </c>
      <c r="C597" s="6" t="inlineStr">
        <is>
          <t>SWEEP-GENERIC</t>
        </is>
      </c>
      <c r="D597" s="6" t="inlineStr">
        <is>
          <t>met</t>
        </is>
      </c>
      <c r="E597" s="6" t="inlineStr">
        <is>
          <t>p33</t>
        </is>
      </c>
      <c r="F597" s="6" t="inlineStr">
        <is>
          <t>sweeping half of a pair</t>
        </is>
      </c>
    </row>
    <row r="598">
      <c r="A598" s="6" t="inlineStr">
        <is>
          <t>S109</t>
        </is>
      </c>
      <c r="B598" s="6" t="inlineStr">
        <is>
          <t>pair</t>
        </is>
      </c>
      <c r="C598" s="6" t="inlineStr">
        <is>
          <t>PAIR-HEDGED</t>
        </is>
      </c>
      <c r="D598" s="6" t="inlineStr">
        <is>
          <t>not_met</t>
        </is>
      </c>
      <c r="E598" s="6" t="inlineStr">
        <is>
          <t>p04</t>
        </is>
      </c>
      <c r="F598" s="6" t="inlineStr">
        <is>
          <t>hedged half of a pair</t>
        </is>
      </c>
    </row>
    <row r="599">
      <c r="A599" s="6" t="inlineStr">
        <is>
          <t>S110</t>
        </is>
      </c>
      <c r="B599" s="6" t="inlineStr">
        <is>
          <t>pair</t>
        </is>
      </c>
      <c r="C599" s="6" t="inlineStr">
        <is>
          <t>SWEEP-ABS</t>
        </is>
      </c>
      <c r="D599" s="6" t="inlineStr">
        <is>
          <t>met</t>
        </is>
      </c>
      <c r="E599" s="6" t="inlineStr">
        <is>
          <t>p38</t>
        </is>
      </c>
      <c r="F599" s="6" t="inlineStr">
        <is>
          <t>sweeping half of a pair</t>
        </is>
      </c>
    </row>
    <row r="600">
      <c r="A600" s="6" t="inlineStr">
        <is>
          <t>S111</t>
        </is>
      </c>
      <c r="B600" s="6" t="inlineStr">
        <is>
          <t>pair</t>
        </is>
      </c>
      <c r="C600" s="6" t="inlineStr">
        <is>
          <t>SWEEP-SUPERLATIVE</t>
        </is>
      </c>
      <c r="D600" s="6" t="inlineStr">
        <is>
          <t>met</t>
        </is>
      </c>
      <c r="E600" s="6" t="inlineStr">
        <is>
          <t>p24</t>
        </is>
      </c>
      <c r="F600" s="6" t="inlineStr">
        <is>
          <t>sweeping half of a pair</t>
        </is>
      </c>
    </row>
    <row r="601">
      <c r="A601" s="6" t="inlineStr">
        <is>
          <t>S112</t>
        </is>
      </c>
      <c r="B601" s="6" t="inlineStr">
        <is>
          <t>pair</t>
        </is>
      </c>
      <c r="C601" s="6" t="inlineStr">
        <is>
          <t>SWEEP-SUPERLATIVE</t>
        </is>
      </c>
      <c r="D601" s="6" t="inlineStr">
        <is>
          <t>met</t>
        </is>
      </c>
      <c r="E601" s="6" t="inlineStr">
        <is>
          <t>p07</t>
        </is>
      </c>
      <c r="F601" s="6" t="inlineStr">
        <is>
          <t>sweeping half of a pair</t>
        </is>
      </c>
    </row>
    <row r="602">
      <c r="A602" s="6" t="inlineStr">
        <is>
          <t>S113</t>
        </is>
      </c>
      <c r="B602" s="6" t="inlineStr">
        <is>
          <t>pair</t>
        </is>
      </c>
      <c r="C602" s="6" t="inlineStr">
        <is>
          <t>SWEEP-ABS</t>
        </is>
      </c>
      <c r="D602" s="6" t="inlineStr">
        <is>
          <t>met</t>
        </is>
      </c>
      <c r="E602" s="6" t="inlineStr">
        <is>
          <t>p35</t>
        </is>
      </c>
      <c r="F602" s="6" t="inlineStr">
        <is>
          <t>sweeping half of a pair</t>
        </is>
      </c>
    </row>
    <row r="603">
      <c r="A603" s="6" t="inlineStr">
        <is>
          <t>S114</t>
        </is>
      </c>
      <c r="B603" s="6" t="inlineStr">
        <is>
          <t>trap</t>
        </is>
      </c>
      <c r="C603" s="6" t="inlineStr">
        <is>
          <t>SCOPED</t>
        </is>
      </c>
      <c r="D603" s="6" t="inlineStr">
        <is>
          <t>not_met</t>
        </is>
      </c>
      <c r="E603" s="6" t="inlineStr"/>
      <c r="F603" s="6" t="inlineStr">
        <is>
          <t>closed group</t>
        </is>
      </c>
    </row>
    <row r="604">
      <c r="A604" s="6" t="inlineStr">
        <is>
          <t>S115</t>
        </is>
      </c>
      <c r="B604" s="6" t="inlineStr">
        <is>
          <t>pair</t>
        </is>
      </c>
      <c r="C604" s="6" t="inlineStr">
        <is>
          <t>PAIR-HEDGED</t>
        </is>
      </c>
      <c r="D604" s="6" t="inlineStr">
        <is>
          <t>not_met</t>
        </is>
      </c>
      <c r="E604" s="6" t="inlineStr">
        <is>
          <t>p05</t>
        </is>
      </c>
      <c r="F604" s="6" t="inlineStr">
        <is>
          <t>hedged half of a pair</t>
        </is>
      </c>
    </row>
    <row r="605">
      <c r="A605" s="6" t="inlineStr">
        <is>
          <t>S116</t>
        </is>
      </c>
      <c r="B605" s="6" t="inlineStr">
        <is>
          <t>pair</t>
        </is>
      </c>
      <c r="C605" s="6" t="inlineStr">
        <is>
          <t>SWEEP-GENERIC</t>
        </is>
      </c>
      <c r="D605" s="6" t="inlineStr">
        <is>
          <t>met</t>
        </is>
      </c>
      <c r="E605" s="6" t="inlineStr">
        <is>
          <t>p04</t>
        </is>
      </c>
      <c r="F605" s="6" t="inlineStr">
        <is>
          <t>sweeping half of a pair</t>
        </is>
      </c>
    </row>
    <row r="606">
      <c r="A606" s="6" t="inlineStr">
        <is>
          <t>S117</t>
        </is>
      </c>
      <c r="B606" s="6" t="inlineStr">
        <is>
          <t>trap</t>
        </is>
      </c>
      <c r="C606" s="6" t="inlineStr">
        <is>
          <t>TRUE-ABS</t>
        </is>
      </c>
      <c r="D606" s="6" t="inlineStr">
        <is>
          <t>not_met</t>
        </is>
      </c>
      <c r="E606" s="6" t="inlineStr"/>
      <c r="F606" s="6" t="inlineStr">
        <is>
          <t>physical law</t>
        </is>
      </c>
    </row>
    <row r="607">
      <c r="A607" s="6" t="inlineStr">
        <is>
          <t>S118</t>
        </is>
      </c>
      <c r="B607" s="6" t="inlineStr">
        <is>
          <t>pair</t>
        </is>
      </c>
      <c r="C607" s="6" t="inlineStr">
        <is>
          <t>SWEEP-ABS</t>
        </is>
      </c>
      <c r="D607" s="6" t="inlineStr">
        <is>
          <t>met</t>
        </is>
      </c>
      <c r="E607" s="6" t="inlineStr">
        <is>
          <t>p26</t>
        </is>
      </c>
      <c r="F607" s="6" t="inlineStr">
        <is>
          <t>sweeping half of a pair</t>
        </is>
      </c>
    </row>
    <row r="608">
      <c r="A608" s="6" t="inlineStr">
        <is>
          <t>S119</t>
        </is>
      </c>
      <c r="B608" s="6" t="inlineStr">
        <is>
          <t>pair</t>
        </is>
      </c>
      <c r="C608" s="6" t="inlineStr">
        <is>
          <t>PAIR-HEDGED</t>
        </is>
      </c>
      <c r="D608" s="6" t="inlineStr">
        <is>
          <t>not_met</t>
        </is>
      </c>
      <c r="E608" s="6" t="inlineStr">
        <is>
          <t>p10</t>
        </is>
      </c>
      <c r="F608" s="6" t="inlineStr">
        <is>
          <t>hedged half of a pair</t>
        </is>
      </c>
    </row>
    <row r="609">
      <c r="A609" s="6" t="inlineStr">
        <is>
          <t>S120</t>
        </is>
      </c>
      <c r="B609" s="6" t="inlineStr">
        <is>
          <t>pair</t>
        </is>
      </c>
      <c r="C609" s="6" t="inlineStr">
        <is>
          <t>PAIR-HEDGED</t>
        </is>
      </c>
      <c r="D609" s="6" t="inlineStr">
        <is>
          <t>not_met</t>
        </is>
      </c>
      <c r="E609" s="6" t="inlineStr">
        <is>
          <t>p21</t>
        </is>
      </c>
      <c r="F609" s="6" t="inlineStr">
        <is>
          <t>hedged half of a pair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609"/>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18" customWidth="1" min="3" max="3"/>
    <col width="10" customWidth="1" min="4" max="4"/>
    <col width="10" customWidth="1" min="5" max="5"/>
    <col width="10" customWidth="1" min="6" max="6"/>
    <col width="12" customWidth="1" min="7" max="7"/>
    <col width="10" customWidth="1" min="8" max="8"/>
    <col width="8" customWidth="1" min="9" max="9"/>
    <col width="7" customWidth="1" min="10" max="10"/>
    <col width="11" customWidth="1" min="11" max="11"/>
    <col width="11" customWidth="1" min="12" max="12"/>
    <col width="11" customWidth="1" min="13" max="13"/>
    <col width="9" customWidth="1" min="14" max="14"/>
    <col width="9" customWidth="1" min="15" max="15"/>
    <col width="9" customWidth="1" min="16" max="16"/>
  </cols>
  <sheetData>
    <row r="1">
      <c r="A1" s="4" t="inlineStr">
        <is>
          <t>Row ID</t>
        </is>
      </c>
      <c r="B1" s="4" t="inlineStr">
        <is>
          <t>Set</t>
        </is>
      </c>
      <c r="C1" s="4" t="inlineStr">
        <is>
          <t>Category</t>
        </is>
      </c>
      <c r="D1" s="4" t="inlineStr">
        <is>
          <t>Intended</t>
        </is>
      </c>
      <c r="E1" s="4" t="inlineStr">
        <is>
          <t>Gideon</t>
        </is>
      </c>
      <c r="F1" s="4" t="inlineStr">
        <is>
          <t>Suning</t>
        </is>
      </c>
      <c r="G1" s="4" t="inlineStr">
        <is>
          <t>Adjudicated</t>
        </is>
      </c>
      <c r="H1" s="4" t="inlineStr">
        <is>
          <t>Final gold</t>
        </is>
      </c>
      <c r="I1" s="4" t="inlineStr">
        <is>
          <t>Both labeled</t>
        </is>
      </c>
      <c r="J1" s="4" t="inlineStr">
        <is>
          <t>Agree</t>
        </is>
      </c>
      <c r="K1" s="4" t="inlineStr">
        <is>
          <t>Agent full</t>
        </is>
      </c>
      <c r="L1" s="4" t="inlineStr">
        <is>
          <t>Agent task_only</t>
        </is>
      </c>
      <c r="M1" s="4" t="inlineStr">
        <is>
          <t>Agent rules_only</t>
        </is>
      </c>
      <c r="N1" s="4" t="inlineStr">
        <is>
          <t>Correct full</t>
        </is>
      </c>
      <c r="O1" s="4" t="inlineStr">
        <is>
          <t>Correct task_only</t>
        </is>
      </c>
      <c r="P1" s="4" t="inlineStr">
        <is>
          <t>Correct rules_only</t>
        </is>
      </c>
    </row>
    <row r="2">
      <c r="A2" s="2" t="inlineStr">
        <is>
          <t>A01-01</t>
        </is>
      </c>
      <c r="B2" s="2">
        <f>Key!B2</f>
        <v/>
      </c>
      <c r="C2" s="2">
        <f>Key!C2</f>
        <v/>
      </c>
      <c r="D2" s="2">
        <f>IF(Key!D2="","",Key!D2)</f>
        <v/>
      </c>
      <c r="E2" s="2">
        <f>IF(Label_Answers!F2="","",Label_Answers!F2)</f>
        <v/>
      </c>
      <c r="F2" s="2">
        <f>IF(Label_Answers!G2="","",Label_Answers!G2)</f>
        <v/>
      </c>
      <c r="G2" s="5" t="n"/>
      <c r="H2" s="2">
        <f>IF(G2&lt;&gt;"",G2,IF(AND(E2&lt;&gt;"",E2=F2,E2&lt;&gt;"unsure"),E2,""))</f>
        <v/>
      </c>
      <c r="I2" s="2">
        <f>IF(AND(OR(E2="met",E2="not_met"),OR(F2="met",F2="not_met")),1,0)</f>
        <v/>
      </c>
      <c r="J2" s="2">
        <f>IF(I2=1,IF(E2=F2,1,0),"")</f>
        <v/>
      </c>
      <c r="K2" s="2" t="n"/>
      <c r="L2" s="2" t="n"/>
      <c r="M2" s="2" t="n"/>
      <c r="N2" s="2">
        <f>IF(OR(K2="",H2=""),"",IF((K2="met")=(H2="met"),1,0))</f>
        <v/>
      </c>
      <c r="O2" s="2">
        <f>IF(OR(L2="",H2=""),"",IF((L2="met")=(H2="met"),1,0))</f>
        <v/>
      </c>
      <c r="P2" s="2">
        <f>IF(OR(M2="",H2=""),"",IF((M2="met")=(H2="met"),1,0))</f>
        <v/>
      </c>
    </row>
    <row r="3">
      <c r="A3" s="2" t="inlineStr">
        <is>
          <t>A01-02</t>
        </is>
      </c>
      <c r="B3" s="2">
        <f>Key!B3</f>
        <v/>
      </c>
      <c r="C3" s="2">
        <f>Key!C3</f>
        <v/>
      </c>
      <c r="D3" s="2">
        <f>IF(Key!D3="","",Key!D3)</f>
        <v/>
      </c>
      <c r="E3" s="2">
        <f>IF(Label_Answers!F3="","",Label_Answers!F3)</f>
        <v/>
      </c>
      <c r="F3" s="2">
        <f>IF(Label_Answers!G3="","",Label_Answers!G3)</f>
        <v/>
      </c>
      <c r="G3" s="5" t="n"/>
      <c r="H3" s="2">
        <f>IF(G3&lt;&gt;"",G3,IF(AND(E3&lt;&gt;"",E3=F3,E3&lt;&gt;"unsure"),E3,""))</f>
        <v/>
      </c>
      <c r="I3" s="2">
        <f>IF(AND(OR(E3="met",E3="not_met"),OR(F3="met",F3="not_met")),1,0)</f>
        <v/>
      </c>
      <c r="J3" s="2">
        <f>IF(I3=1,IF(E3=F3,1,0),"")</f>
        <v/>
      </c>
      <c r="K3" s="2" t="n"/>
      <c r="L3" s="2" t="n"/>
      <c r="M3" s="2" t="n"/>
      <c r="N3" s="2">
        <f>IF(OR(K3="",H3=""),"",IF((K3="met")=(H3="met"),1,0))</f>
        <v/>
      </c>
      <c r="O3" s="2">
        <f>IF(OR(L3="",H3=""),"",IF((L3="met")=(H3="met"),1,0))</f>
        <v/>
      </c>
      <c r="P3" s="2">
        <f>IF(OR(M3="",H3=""),"",IF((M3="met")=(H3="met"),1,0))</f>
        <v/>
      </c>
    </row>
    <row r="4">
      <c r="A4" s="2" t="inlineStr">
        <is>
          <t>A01-03</t>
        </is>
      </c>
      <c r="B4" s="2">
        <f>Key!B4</f>
        <v/>
      </c>
      <c r="C4" s="2">
        <f>Key!C4</f>
        <v/>
      </c>
      <c r="D4" s="2">
        <f>IF(Key!D4="","",Key!D4)</f>
        <v/>
      </c>
      <c r="E4" s="2">
        <f>IF(Label_Answers!F4="","",Label_Answers!F4)</f>
        <v/>
      </c>
      <c r="F4" s="2">
        <f>IF(Label_Answers!G4="","",Label_Answers!G4)</f>
        <v/>
      </c>
      <c r="G4" s="5" t="n"/>
      <c r="H4" s="2">
        <f>IF(G4&lt;&gt;"",G4,IF(AND(E4&lt;&gt;"",E4=F4,E4&lt;&gt;"unsure"),E4,""))</f>
        <v/>
      </c>
      <c r="I4" s="2">
        <f>IF(AND(OR(E4="met",E4="not_met"),OR(F4="met",F4="not_met")),1,0)</f>
        <v/>
      </c>
      <c r="J4" s="2">
        <f>IF(I4=1,IF(E4=F4,1,0),"")</f>
        <v/>
      </c>
      <c r="K4" s="2" t="n"/>
      <c r="L4" s="2" t="n"/>
      <c r="M4" s="2" t="n"/>
      <c r="N4" s="2">
        <f>IF(OR(K4="",H4=""),"",IF((K4="met")=(H4="met"),1,0))</f>
        <v/>
      </c>
      <c r="O4" s="2">
        <f>IF(OR(L4="",H4=""),"",IF((L4="met")=(H4="met"),1,0))</f>
        <v/>
      </c>
      <c r="P4" s="2">
        <f>IF(OR(M4="",H4=""),"",IF((M4="met")=(H4="met"),1,0))</f>
        <v/>
      </c>
    </row>
    <row r="5">
      <c r="A5" s="2" t="inlineStr">
        <is>
          <t>A01-04</t>
        </is>
      </c>
      <c r="B5" s="2">
        <f>Key!B5</f>
        <v/>
      </c>
      <c r="C5" s="2">
        <f>Key!C5</f>
        <v/>
      </c>
      <c r="D5" s="2">
        <f>IF(Key!D5="","",Key!D5)</f>
        <v/>
      </c>
      <c r="E5" s="2">
        <f>IF(Label_Answers!F5="","",Label_Answers!F5)</f>
        <v/>
      </c>
      <c r="F5" s="2">
        <f>IF(Label_Answers!G5="","",Label_Answers!G5)</f>
        <v/>
      </c>
      <c r="G5" s="5" t="n"/>
      <c r="H5" s="2">
        <f>IF(G5&lt;&gt;"",G5,IF(AND(E5&lt;&gt;"",E5=F5,E5&lt;&gt;"unsure"),E5,""))</f>
        <v/>
      </c>
      <c r="I5" s="2">
        <f>IF(AND(OR(E5="met",E5="not_met"),OR(F5="met",F5="not_met")),1,0)</f>
        <v/>
      </c>
      <c r="J5" s="2">
        <f>IF(I5=1,IF(E5=F5,1,0),"")</f>
        <v/>
      </c>
      <c r="K5" s="2" t="n"/>
      <c r="L5" s="2" t="n"/>
      <c r="M5" s="2" t="n"/>
      <c r="N5" s="2">
        <f>IF(OR(K5="",H5=""),"",IF((K5="met")=(H5="met"),1,0))</f>
        <v/>
      </c>
      <c r="O5" s="2">
        <f>IF(OR(L5="",H5=""),"",IF((L5="met")=(H5="met"),1,0))</f>
        <v/>
      </c>
      <c r="P5" s="2">
        <f>IF(OR(M5="",H5=""),"",IF((M5="met")=(H5="met"),1,0))</f>
        <v/>
      </c>
    </row>
    <row r="6">
      <c r="A6" s="2" t="inlineStr">
        <is>
          <t>A01-05</t>
        </is>
      </c>
      <c r="B6" s="2">
        <f>Key!B6</f>
        <v/>
      </c>
      <c r="C6" s="2">
        <f>Key!C6</f>
        <v/>
      </c>
      <c r="D6" s="2">
        <f>IF(Key!D6="","",Key!D6)</f>
        <v/>
      </c>
      <c r="E6" s="2">
        <f>IF(Label_Answers!F6="","",Label_Answers!F6)</f>
        <v/>
      </c>
      <c r="F6" s="2">
        <f>IF(Label_Answers!G6="","",Label_Answers!G6)</f>
        <v/>
      </c>
      <c r="G6" s="5" t="n"/>
      <c r="H6" s="2">
        <f>IF(G6&lt;&gt;"",G6,IF(AND(E6&lt;&gt;"",E6=F6,E6&lt;&gt;"unsure"),E6,""))</f>
        <v/>
      </c>
      <c r="I6" s="2">
        <f>IF(AND(OR(E6="met",E6="not_met"),OR(F6="met",F6="not_met")),1,0)</f>
        <v/>
      </c>
      <c r="J6" s="2">
        <f>IF(I6=1,IF(E6=F6,1,0),"")</f>
        <v/>
      </c>
      <c r="K6" s="2" t="n"/>
      <c r="L6" s="2" t="n"/>
      <c r="M6" s="2" t="n"/>
      <c r="N6" s="2">
        <f>IF(OR(K6="",H6=""),"",IF((K6="met")=(H6="met"),1,0))</f>
        <v/>
      </c>
      <c r="O6" s="2">
        <f>IF(OR(L6="",H6=""),"",IF((L6="met")=(H6="met"),1,0))</f>
        <v/>
      </c>
      <c r="P6" s="2">
        <f>IF(OR(M6="",H6=""),"",IF((M6="met")=(H6="met"),1,0))</f>
        <v/>
      </c>
    </row>
    <row r="7">
      <c r="A7" s="2" t="inlineStr">
        <is>
          <t>A01-06</t>
        </is>
      </c>
      <c r="B7" s="2">
        <f>Key!B7</f>
        <v/>
      </c>
      <c r="C7" s="2">
        <f>Key!C7</f>
        <v/>
      </c>
      <c r="D7" s="2">
        <f>IF(Key!D7="","",Key!D7)</f>
        <v/>
      </c>
      <c r="E7" s="2">
        <f>IF(Label_Answers!F7="","",Label_Answers!F7)</f>
        <v/>
      </c>
      <c r="F7" s="2">
        <f>IF(Label_Answers!G7="","",Label_Answers!G7)</f>
        <v/>
      </c>
      <c r="G7" s="5" t="n"/>
      <c r="H7" s="2">
        <f>IF(G7&lt;&gt;"",G7,IF(AND(E7&lt;&gt;"",E7=F7,E7&lt;&gt;"unsure"),E7,""))</f>
        <v/>
      </c>
      <c r="I7" s="2">
        <f>IF(AND(OR(E7="met",E7="not_met"),OR(F7="met",F7="not_met")),1,0)</f>
        <v/>
      </c>
      <c r="J7" s="2">
        <f>IF(I7=1,IF(E7=F7,1,0),"")</f>
        <v/>
      </c>
      <c r="K7" s="2" t="n"/>
      <c r="L7" s="2" t="n"/>
      <c r="M7" s="2" t="n"/>
      <c r="N7" s="2">
        <f>IF(OR(K7="",H7=""),"",IF((K7="met")=(H7="met"),1,0))</f>
        <v/>
      </c>
      <c r="O7" s="2">
        <f>IF(OR(L7="",H7=""),"",IF((L7="met")=(H7="met"),1,0))</f>
        <v/>
      </c>
      <c r="P7" s="2">
        <f>IF(OR(M7="",H7=""),"",IF((M7="met")=(H7="met"),1,0))</f>
        <v/>
      </c>
    </row>
    <row r="8">
      <c r="A8" s="2" t="inlineStr">
        <is>
          <t>A01-07</t>
        </is>
      </c>
      <c r="B8" s="2">
        <f>Key!B8</f>
        <v/>
      </c>
      <c r="C8" s="2">
        <f>Key!C8</f>
        <v/>
      </c>
      <c r="D8" s="2">
        <f>IF(Key!D8="","",Key!D8)</f>
        <v/>
      </c>
      <c r="E8" s="2">
        <f>IF(Label_Answers!F8="","",Label_Answers!F8)</f>
        <v/>
      </c>
      <c r="F8" s="2">
        <f>IF(Label_Answers!G8="","",Label_Answers!G8)</f>
        <v/>
      </c>
      <c r="G8" s="5" t="n"/>
      <c r="H8" s="2">
        <f>IF(G8&lt;&gt;"",G8,IF(AND(E8&lt;&gt;"",E8=F8,E8&lt;&gt;"unsure"),E8,""))</f>
        <v/>
      </c>
      <c r="I8" s="2">
        <f>IF(AND(OR(E8="met",E8="not_met"),OR(F8="met",F8="not_met")),1,0)</f>
        <v/>
      </c>
      <c r="J8" s="2">
        <f>IF(I8=1,IF(E8=F8,1,0),"")</f>
        <v/>
      </c>
      <c r="K8" s="2" t="n"/>
      <c r="L8" s="2" t="n"/>
      <c r="M8" s="2" t="n"/>
      <c r="N8" s="2">
        <f>IF(OR(K8="",H8=""),"",IF((K8="met")=(H8="met"),1,0))</f>
        <v/>
      </c>
      <c r="O8" s="2">
        <f>IF(OR(L8="",H8=""),"",IF((L8="met")=(H8="met"),1,0))</f>
        <v/>
      </c>
      <c r="P8" s="2">
        <f>IF(OR(M8="",H8=""),"",IF((M8="met")=(H8="met"),1,0))</f>
        <v/>
      </c>
    </row>
    <row r="9">
      <c r="A9" s="2" t="inlineStr">
        <is>
          <t>A01-08</t>
        </is>
      </c>
      <c r="B9" s="2">
        <f>Key!B9</f>
        <v/>
      </c>
      <c r="C9" s="2">
        <f>Key!C9</f>
        <v/>
      </c>
      <c r="D9" s="2">
        <f>IF(Key!D9="","",Key!D9)</f>
        <v/>
      </c>
      <c r="E9" s="2">
        <f>IF(Label_Answers!F9="","",Label_Answers!F9)</f>
        <v/>
      </c>
      <c r="F9" s="2">
        <f>IF(Label_Answers!G9="","",Label_Answers!G9)</f>
        <v/>
      </c>
      <c r="G9" s="5" t="n"/>
      <c r="H9" s="2">
        <f>IF(G9&lt;&gt;"",G9,IF(AND(E9&lt;&gt;"",E9=F9,E9&lt;&gt;"unsure"),E9,""))</f>
        <v/>
      </c>
      <c r="I9" s="2">
        <f>IF(AND(OR(E9="met",E9="not_met"),OR(F9="met",F9="not_met")),1,0)</f>
        <v/>
      </c>
      <c r="J9" s="2">
        <f>IF(I9=1,IF(E9=F9,1,0),"")</f>
        <v/>
      </c>
      <c r="K9" s="2" t="n"/>
      <c r="L9" s="2" t="n"/>
      <c r="M9" s="2" t="n"/>
      <c r="N9" s="2">
        <f>IF(OR(K9="",H9=""),"",IF((K9="met")=(H9="met"),1,0))</f>
        <v/>
      </c>
      <c r="O9" s="2">
        <f>IF(OR(L9="",H9=""),"",IF((L9="met")=(H9="met"),1,0))</f>
        <v/>
      </c>
      <c r="P9" s="2">
        <f>IF(OR(M9="",H9=""),"",IF((M9="met")=(H9="met"),1,0))</f>
        <v/>
      </c>
    </row>
    <row r="10">
      <c r="A10" s="2" t="inlineStr">
        <is>
          <t>A02-01</t>
        </is>
      </c>
      <c r="B10" s="2">
        <f>Key!B10</f>
        <v/>
      </c>
      <c r="C10" s="2">
        <f>Key!C10</f>
        <v/>
      </c>
      <c r="D10" s="2">
        <f>IF(Key!D10="","",Key!D10)</f>
        <v/>
      </c>
      <c r="E10" s="2">
        <f>IF(Label_Answers!F10="","",Label_Answers!F10)</f>
        <v/>
      </c>
      <c r="F10" s="2">
        <f>IF(Label_Answers!G10="","",Label_Answers!G10)</f>
        <v/>
      </c>
      <c r="G10" s="5" t="n"/>
      <c r="H10" s="2">
        <f>IF(G10&lt;&gt;"",G10,IF(AND(E10&lt;&gt;"",E10=F10,E10&lt;&gt;"unsure"),E10,""))</f>
        <v/>
      </c>
      <c r="I10" s="2">
        <f>IF(AND(OR(E10="met",E10="not_met"),OR(F10="met",F10="not_met")),1,0)</f>
        <v/>
      </c>
      <c r="J10" s="2">
        <f>IF(I10=1,IF(E10=F10,1,0),"")</f>
        <v/>
      </c>
      <c r="K10" s="2" t="n"/>
      <c r="L10" s="2" t="n"/>
      <c r="M10" s="2" t="n"/>
      <c r="N10" s="2">
        <f>IF(OR(K10="",H10=""),"",IF((K10="met")=(H10="met"),1,0))</f>
        <v/>
      </c>
      <c r="O10" s="2">
        <f>IF(OR(L10="",H10=""),"",IF((L10="met")=(H10="met"),1,0))</f>
        <v/>
      </c>
      <c r="P10" s="2">
        <f>IF(OR(M10="",H10=""),"",IF((M10="met")=(H10="met"),1,0))</f>
        <v/>
      </c>
    </row>
    <row r="11">
      <c r="A11" s="2" t="inlineStr">
        <is>
          <t>A02-02</t>
        </is>
      </c>
      <c r="B11" s="2">
        <f>Key!B11</f>
        <v/>
      </c>
      <c r="C11" s="2">
        <f>Key!C11</f>
        <v/>
      </c>
      <c r="D11" s="2">
        <f>IF(Key!D11="","",Key!D11)</f>
        <v/>
      </c>
      <c r="E11" s="2">
        <f>IF(Label_Answers!F11="","",Label_Answers!F11)</f>
        <v/>
      </c>
      <c r="F11" s="2">
        <f>IF(Label_Answers!G11="","",Label_Answers!G11)</f>
        <v/>
      </c>
      <c r="G11" s="5" t="n"/>
      <c r="H11" s="2">
        <f>IF(G11&lt;&gt;"",G11,IF(AND(E11&lt;&gt;"",E11=F11,E11&lt;&gt;"unsure"),E11,""))</f>
        <v/>
      </c>
      <c r="I11" s="2">
        <f>IF(AND(OR(E11="met",E11="not_met"),OR(F11="met",F11="not_met")),1,0)</f>
        <v/>
      </c>
      <c r="J11" s="2">
        <f>IF(I11=1,IF(E11=F11,1,0),"")</f>
        <v/>
      </c>
      <c r="K11" s="2" t="n"/>
      <c r="L11" s="2" t="n"/>
      <c r="M11" s="2" t="n"/>
      <c r="N11" s="2">
        <f>IF(OR(K11="",H11=""),"",IF((K11="met")=(H11="met"),1,0))</f>
        <v/>
      </c>
      <c r="O11" s="2">
        <f>IF(OR(L11="",H11=""),"",IF((L11="met")=(H11="met"),1,0))</f>
        <v/>
      </c>
      <c r="P11" s="2">
        <f>IF(OR(M11="",H11=""),"",IF((M11="met")=(H11="met"),1,0))</f>
        <v/>
      </c>
    </row>
    <row r="12">
      <c r="A12" s="2" t="inlineStr">
        <is>
          <t>A02-03</t>
        </is>
      </c>
      <c r="B12" s="2">
        <f>Key!B12</f>
        <v/>
      </c>
      <c r="C12" s="2">
        <f>Key!C12</f>
        <v/>
      </c>
      <c r="D12" s="2">
        <f>IF(Key!D12="","",Key!D12)</f>
        <v/>
      </c>
      <c r="E12" s="2">
        <f>IF(Label_Answers!F12="","",Label_Answers!F12)</f>
        <v/>
      </c>
      <c r="F12" s="2">
        <f>IF(Label_Answers!G12="","",Label_Answers!G12)</f>
        <v/>
      </c>
      <c r="G12" s="5" t="n"/>
      <c r="H12" s="2">
        <f>IF(G12&lt;&gt;"",G12,IF(AND(E12&lt;&gt;"",E12=F12,E12&lt;&gt;"unsure"),E12,""))</f>
        <v/>
      </c>
      <c r="I12" s="2">
        <f>IF(AND(OR(E12="met",E12="not_met"),OR(F12="met",F12="not_met")),1,0)</f>
        <v/>
      </c>
      <c r="J12" s="2">
        <f>IF(I12=1,IF(E12=F12,1,0),"")</f>
        <v/>
      </c>
      <c r="K12" s="2" t="n"/>
      <c r="L12" s="2" t="n"/>
      <c r="M12" s="2" t="n"/>
      <c r="N12" s="2">
        <f>IF(OR(K12="",H12=""),"",IF((K12="met")=(H12="met"),1,0))</f>
        <v/>
      </c>
      <c r="O12" s="2">
        <f>IF(OR(L12="",H12=""),"",IF((L12="met")=(H12="met"),1,0))</f>
        <v/>
      </c>
      <c r="P12" s="2">
        <f>IF(OR(M12="",H12=""),"",IF((M12="met")=(H12="met"),1,0))</f>
        <v/>
      </c>
    </row>
    <row r="13">
      <c r="A13" s="2" t="inlineStr">
        <is>
          <t>A02-04</t>
        </is>
      </c>
      <c r="B13" s="2">
        <f>Key!B13</f>
        <v/>
      </c>
      <c r="C13" s="2">
        <f>Key!C13</f>
        <v/>
      </c>
      <c r="D13" s="2">
        <f>IF(Key!D13="","",Key!D13)</f>
        <v/>
      </c>
      <c r="E13" s="2">
        <f>IF(Label_Answers!F13="","",Label_Answers!F13)</f>
        <v/>
      </c>
      <c r="F13" s="2">
        <f>IF(Label_Answers!G13="","",Label_Answers!G13)</f>
        <v/>
      </c>
      <c r="G13" s="5" t="n"/>
      <c r="H13" s="2">
        <f>IF(G13&lt;&gt;"",G13,IF(AND(E13&lt;&gt;"",E13=F13,E13&lt;&gt;"unsure"),E13,""))</f>
        <v/>
      </c>
      <c r="I13" s="2">
        <f>IF(AND(OR(E13="met",E13="not_met"),OR(F13="met",F13="not_met")),1,0)</f>
        <v/>
      </c>
      <c r="J13" s="2">
        <f>IF(I13=1,IF(E13=F13,1,0),"")</f>
        <v/>
      </c>
      <c r="K13" s="2" t="n"/>
      <c r="L13" s="2" t="n"/>
      <c r="M13" s="2" t="n"/>
      <c r="N13" s="2">
        <f>IF(OR(K13="",H13=""),"",IF((K13="met")=(H13="met"),1,0))</f>
        <v/>
      </c>
      <c r="O13" s="2">
        <f>IF(OR(L13="",H13=""),"",IF((L13="met")=(H13="met"),1,0))</f>
        <v/>
      </c>
      <c r="P13" s="2">
        <f>IF(OR(M13="",H13=""),"",IF((M13="met")=(H13="met"),1,0))</f>
        <v/>
      </c>
    </row>
    <row r="14">
      <c r="A14" s="2" t="inlineStr">
        <is>
          <t>A02-05</t>
        </is>
      </c>
      <c r="B14" s="2">
        <f>Key!B14</f>
        <v/>
      </c>
      <c r="C14" s="2">
        <f>Key!C14</f>
        <v/>
      </c>
      <c r="D14" s="2">
        <f>IF(Key!D14="","",Key!D14)</f>
        <v/>
      </c>
      <c r="E14" s="2">
        <f>IF(Label_Answers!F14="","",Label_Answers!F14)</f>
        <v/>
      </c>
      <c r="F14" s="2">
        <f>IF(Label_Answers!G14="","",Label_Answers!G14)</f>
        <v/>
      </c>
      <c r="G14" s="5" t="n"/>
      <c r="H14" s="2">
        <f>IF(G14&lt;&gt;"",G14,IF(AND(E14&lt;&gt;"",E14=F14,E14&lt;&gt;"unsure"),E14,""))</f>
        <v/>
      </c>
      <c r="I14" s="2">
        <f>IF(AND(OR(E14="met",E14="not_met"),OR(F14="met",F14="not_met")),1,0)</f>
        <v/>
      </c>
      <c r="J14" s="2">
        <f>IF(I14=1,IF(E14=F14,1,0),"")</f>
        <v/>
      </c>
      <c r="K14" s="2" t="n"/>
      <c r="L14" s="2" t="n"/>
      <c r="M14" s="2" t="n"/>
      <c r="N14" s="2">
        <f>IF(OR(K14="",H14=""),"",IF((K14="met")=(H14="met"),1,0))</f>
        <v/>
      </c>
      <c r="O14" s="2">
        <f>IF(OR(L14="",H14=""),"",IF((L14="met")=(H14="met"),1,0))</f>
        <v/>
      </c>
      <c r="P14" s="2">
        <f>IF(OR(M14="",H14=""),"",IF((M14="met")=(H14="met"),1,0))</f>
        <v/>
      </c>
    </row>
    <row r="15">
      <c r="A15" s="2" t="inlineStr">
        <is>
          <t>A02-06</t>
        </is>
      </c>
      <c r="B15" s="2">
        <f>Key!B15</f>
        <v/>
      </c>
      <c r="C15" s="2">
        <f>Key!C15</f>
        <v/>
      </c>
      <c r="D15" s="2">
        <f>IF(Key!D15="","",Key!D15)</f>
        <v/>
      </c>
      <c r="E15" s="2">
        <f>IF(Label_Answers!F15="","",Label_Answers!F15)</f>
        <v/>
      </c>
      <c r="F15" s="2">
        <f>IF(Label_Answers!G15="","",Label_Answers!G15)</f>
        <v/>
      </c>
      <c r="G15" s="5" t="n"/>
      <c r="H15" s="2">
        <f>IF(G15&lt;&gt;"",G15,IF(AND(E15&lt;&gt;"",E15=F15,E15&lt;&gt;"unsure"),E15,""))</f>
        <v/>
      </c>
      <c r="I15" s="2">
        <f>IF(AND(OR(E15="met",E15="not_met"),OR(F15="met",F15="not_met")),1,0)</f>
        <v/>
      </c>
      <c r="J15" s="2">
        <f>IF(I15=1,IF(E15=F15,1,0),"")</f>
        <v/>
      </c>
      <c r="K15" s="2" t="n"/>
      <c r="L15" s="2" t="n"/>
      <c r="M15" s="2" t="n"/>
      <c r="N15" s="2">
        <f>IF(OR(K15="",H15=""),"",IF((K15="met")=(H15="met"),1,0))</f>
        <v/>
      </c>
      <c r="O15" s="2">
        <f>IF(OR(L15="",H15=""),"",IF((L15="met")=(H15="met"),1,0))</f>
        <v/>
      </c>
      <c r="P15" s="2">
        <f>IF(OR(M15="",H15=""),"",IF((M15="met")=(H15="met"),1,0))</f>
        <v/>
      </c>
    </row>
    <row r="16">
      <c r="A16" s="2" t="inlineStr">
        <is>
          <t>A02-07</t>
        </is>
      </c>
      <c r="B16" s="2">
        <f>Key!B16</f>
        <v/>
      </c>
      <c r="C16" s="2">
        <f>Key!C16</f>
        <v/>
      </c>
      <c r="D16" s="2">
        <f>IF(Key!D16="","",Key!D16)</f>
        <v/>
      </c>
      <c r="E16" s="2">
        <f>IF(Label_Answers!F16="","",Label_Answers!F16)</f>
        <v/>
      </c>
      <c r="F16" s="2">
        <f>IF(Label_Answers!G16="","",Label_Answers!G16)</f>
        <v/>
      </c>
      <c r="G16" s="5" t="n"/>
      <c r="H16" s="2">
        <f>IF(G16&lt;&gt;"",G16,IF(AND(E16&lt;&gt;"",E16=F16,E16&lt;&gt;"unsure"),E16,""))</f>
        <v/>
      </c>
      <c r="I16" s="2">
        <f>IF(AND(OR(E16="met",E16="not_met"),OR(F16="met",F16="not_met")),1,0)</f>
        <v/>
      </c>
      <c r="J16" s="2">
        <f>IF(I16=1,IF(E16=F16,1,0),"")</f>
        <v/>
      </c>
      <c r="K16" s="2" t="n"/>
      <c r="L16" s="2" t="n"/>
      <c r="M16" s="2" t="n"/>
      <c r="N16" s="2">
        <f>IF(OR(K16="",H16=""),"",IF((K16="met")=(H16="met"),1,0))</f>
        <v/>
      </c>
      <c r="O16" s="2">
        <f>IF(OR(L16="",H16=""),"",IF((L16="met")=(H16="met"),1,0))</f>
        <v/>
      </c>
      <c r="P16" s="2">
        <f>IF(OR(M16="",H16=""),"",IF((M16="met")=(H16="met"),1,0))</f>
        <v/>
      </c>
    </row>
    <row r="17">
      <c r="A17" s="2" t="inlineStr">
        <is>
          <t>A02-08</t>
        </is>
      </c>
      <c r="B17" s="2">
        <f>Key!B17</f>
        <v/>
      </c>
      <c r="C17" s="2">
        <f>Key!C17</f>
        <v/>
      </c>
      <c r="D17" s="2">
        <f>IF(Key!D17="","",Key!D17)</f>
        <v/>
      </c>
      <c r="E17" s="2">
        <f>IF(Label_Answers!F17="","",Label_Answers!F17)</f>
        <v/>
      </c>
      <c r="F17" s="2">
        <f>IF(Label_Answers!G17="","",Label_Answers!G17)</f>
        <v/>
      </c>
      <c r="G17" s="5" t="n"/>
      <c r="H17" s="2">
        <f>IF(G17&lt;&gt;"",G17,IF(AND(E17&lt;&gt;"",E17=F17,E17&lt;&gt;"unsure"),E17,""))</f>
        <v/>
      </c>
      <c r="I17" s="2">
        <f>IF(AND(OR(E17="met",E17="not_met"),OR(F17="met",F17="not_met")),1,0)</f>
        <v/>
      </c>
      <c r="J17" s="2">
        <f>IF(I17=1,IF(E17=F17,1,0),"")</f>
        <v/>
      </c>
      <c r="K17" s="2" t="n"/>
      <c r="L17" s="2" t="n"/>
      <c r="M17" s="2" t="n"/>
      <c r="N17" s="2">
        <f>IF(OR(K17="",H17=""),"",IF((K17="met")=(H17="met"),1,0))</f>
        <v/>
      </c>
      <c r="O17" s="2">
        <f>IF(OR(L17="",H17=""),"",IF((L17="met")=(H17="met"),1,0))</f>
        <v/>
      </c>
      <c r="P17" s="2">
        <f>IF(OR(M17="",H17=""),"",IF((M17="met")=(H17="met"),1,0))</f>
        <v/>
      </c>
    </row>
    <row r="18">
      <c r="A18" s="2" t="inlineStr">
        <is>
          <t>A03-01</t>
        </is>
      </c>
      <c r="B18" s="2">
        <f>Key!B18</f>
        <v/>
      </c>
      <c r="C18" s="2">
        <f>Key!C18</f>
        <v/>
      </c>
      <c r="D18" s="2">
        <f>IF(Key!D18="","",Key!D18)</f>
        <v/>
      </c>
      <c r="E18" s="2">
        <f>IF(Label_Answers!F18="","",Label_Answers!F18)</f>
        <v/>
      </c>
      <c r="F18" s="2">
        <f>IF(Label_Answers!G18="","",Label_Answers!G18)</f>
        <v/>
      </c>
      <c r="G18" s="5" t="n"/>
      <c r="H18" s="2">
        <f>IF(G18&lt;&gt;"",G18,IF(AND(E18&lt;&gt;"",E18=F18,E18&lt;&gt;"unsure"),E18,""))</f>
        <v/>
      </c>
      <c r="I18" s="2">
        <f>IF(AND(OR(E18="met",E18="not_met"),OR(F18="met",F18="not_met")),1,0)</f>
        <v/>
      </c>
      <c r="J18" s="2">
        <f>IF(I18=1,IF(E18=F18,1,0),"")</f>
        <v/>
      </c>
      <c r="K18" s="2" t="n"/>
      <c r="L18" s="2" t="n"/>
      <c r="M18" s="2" t="n"/>
      <c r="N18" s="2">
        <f>IF(OR(K18="",H18=""),"",IF((K18="met")=(H18="met"),1,0))</f>
        <v/>
      </c>
      <c r="O18" s="2">
        <f>IF(OR(L18="",H18=""),"",IF((L18="met")=(H18="met"),1,0))</f>
        <v/>
      </c>
      <c r="P18" s="2">
        <f>IF(OR(M18="",H18=""),"",IF((M18="met")=(H18="met"),1,0))</f>
        <v/>
      </c>
    </row>
    <row r="19">
      <c r="A19" s="2" t="inlineStr">
        <is>
          <t>A03-02</t>
        </is>
      </c>
      <c r="B19" s="2">
        <f>Key!B19</f>
        <v/>
      </c>
      <c r="C19" s="2">
        <f>Key!C19</f>
        <v/>
      </c>
      <c r="D19" s="2">
        <f>IF(Key!D19="","",Key!D19)</f>
        <v/>
      </c>
      <c r="E19" s="2">
        <f>IF(Label_Answers!F19="","",Label_Answers!F19)</f>
        <v/>
      </c>
      <c r="F19" s="2">
        <f>IF(Label_Answers!G19="","",Label_Answers!G19)</f>
        <v/>
      </c>
      <c r="G19" s="5" t="n"/>
      <c r="H19" s="2">
        <f>IF(G19&lt;&gt;"",G19,IF(AND(E19&lt;&gt;"",E19=F19,E19&lt;&gt;"unsure"),E19,""))</f>
        <v/>
      </c>
      <c r="I19" s="2">
        <f>IF(AND(OR(E19="met",E19="not_met"),OR(F19="met",F19="not_met")),1,0)</f>
        <v/>
      </c>
      <c r="J19" s="2">
        <f>IF(I19=1,IF(E19=F19,1,0),"")</f>
        <v/>
      </c>
      <c r="K19" s="2" t="n"/>
      <c r="L19" s="2" t="n"/>
      <c r="M19" s="2" t="n"/>
      <c r="N19" s="2">
        <f>IF(OR(K19="",H19=""),"",IF((K19="met")=(H19="met"),1,0))</f>
        <v/>
      </c>
      <c r="O19" s="2">
        <f>IF(OR(L19="",H19=""),"",IF((L19="met")=(H19="met"),1,0))</f>
        <v/>
      </c>
      <c r="P19" s="2">
        <f>IF(OR(M19="",H19=""),"",IF((M19="met")=(H19="met"),1,0))</f>
        <v/>
      </c>
    </row>
    <row r="20">
      <c r="A20" s="2" t="inlineStr">
        <is>
          <t>A03-03</t>
        </is>
      </c>
      <c r="B20" s="2">
        <f>Key!B20</f>
        <v/>
      </c>
      <c r="C20" s="2">
        <f>Key!C20</f>
        <v/>
      </c>
      <c r="D20" s="2">
        <f>IF(Key!D20="","",Key!D20)</f>
        <v/>
      </c>
      <c r="E20" s="2">
        <f>IF(Label_Answers!F20="","",Label_Answers!F20)</f>
        <v/>
      </c>
      <c r="F20" s="2">
        <f>IF(Label_Answers!G20="","",Label_Answers!G20)</f>
        <v/>
      </c>
      <c r="G20" s="5" t="n"/>
      <c r="H20" s="2">
        <f>IF(G20&lt;&gt;"",G20,IF(AND(E20&lt;&gt;"",E20=F20,E20&lt;&gt;"unsure"),E20,""))</f>
        <v/>
      </c>
      <c r="I20" s="2">
        <f>IF(AND(OR(E20="met",E20="not_met"),OR(F20="met",F20="not_met")),1,0)</f>
        <v/>
      </c>
      <c r="J20" s="2">
        <f>IF(I20=1,IF(E20=F20,1,0),"")</f>
        <v/>
      </c>
      <c r="K20" s="2" t="n"/>
      <c r="L20" s="2" t="n"/>
      <c r="M20" s="2" t="n"/>
      <c r="N20" s="2">
        <f>IF(OR(K20="",H20=""),"",IF((K20="met")=(H20="met"),1,0))</f>
        <v/>
      </c>
      <c r="O20" s="2">
        <f>IF(OR(L20="",H20=""),"",IF((L20="met")=(H20="met"),1,0))</f>
        <v/>
      </c>
      <c r="P20" s="2">
        <f>IF(OR(M20="",H20=""),"",IF((M20="met")=(H20="met"),1,0))</f>
        <v/>
      </c>
    </row>
    <row r="21">
      <c r="A21" s="2" t="inlineStr">
        <is>
          <t>A03-04</t>
        </is>
      </c>
      <c r="B21" s="2">
        <f>Key!B21</f>
        <v/>
      </c>
      <c r="C21" s="2">
        <f>Key!C21</f>
        <v/>
      </c>
      <c r="D21" s="2">
        <f>IF(Key!D21="","",Key!D21)</f>
        <v/>
      </c>
      <c r="E21" s="2">
        <f>IF(Label_Answers!F21="","",Label_Answers!F21)</f>
        <v/>
      </c>
      <c r="F21" s="2">
        <f>IF(Label_Answers!G21="","",Label_Answers!G21)</f>
        <v/>
      </c>
      <c r="G21" s="5" t="n"/>
      <c r="H21" s="2">
        <f>IF(G21&lt;&gt;"",G21,IF(AND(E21&lt;&gt;"",E21=F21,E21&lt;&gt;"unsure"),E21,""))</f>
        <v/>
      </c>
      <c r="I21" s="2">
        <f>IF(AND(OR(E21="met",E21="not_met"),OR(F21="met",F21="not_met")),1,0)</f>
        <v/>
      </c>
      <c r="J21" s="2">
        <f>IF(I21=1,IF(E21=F21,1,0),"")</f>
        <v/>
      </c>
      <c r="K21" s="2" t="n"/>
      <c r="L21" s="2" t="n"/>
      <c r="M21" s="2" t="n"/>
      <c r="N21" s="2">
        <f>IF(OR(K21="",H21=""),"",IF((K21="met")=(H21="met"),1,0))</f>
        <v/>
      </c>
      <c r="O21" s="2">
        <f>IF(OR(L21="",H21=""),"",IF((L21="met")=(H21="met"),1,0))</f>
        <v/>
      </c>
      <c r="P21" s="2">
        <f>IF(OR(M21="",H21=""),"",IF((M21="met")=(H21="met"),1,0))</f>
        <v/>
      </c>
    </row>
    <row r="22">
      <c r="A22" s="2" t="inlineStr">
        <is>
          <t>A03-05</t>
        </is>
      </c>
      <c r="B22" s="2">
        <f>Key!B22</f>
        <v/>
      </c>
      <c r="C22" s="2">
        <f>Key!C22</f>
        <v/>
      </c>
      <c r="D22" s="2">
        <f>IF(Key!D22="","",Key!D22)</f>
        <v/>
      </c>
      <c r="E22" s="2">
        <f>IF(Label_Answers!F22="","",Label_Answers!F22)</f>
        <v/>
      </c>
      <c r="F22" s="2">
        <f>IF(Label_Answers!G22="","",Label_Answers!G22)</f>
        <v/>
      </c>
      <c r="G22" s="5" t="n"/>
      <c r="H22" s="2">
        <f>IF(G22&lt;&gt;"",G22,IF(AND(E22&lt;&gt;"",E22=F22,E22&lt;&gt;"unsure"),E22,""))</f>
        <v/>
      </c>
      <c r="I22" s="2">
        <f>IF(AND(OR(E22="met",E22="not_met"),OR(F22="met",F22="not_met")),1,0)</f>
        <v/>
      </c>
      <c r="J22" s="2">
        <f>IF(I22=1,IF(E22=F22,1,0),"")</f>
        <v/>
      </c>
      <c r="K22" s="2" t="n"/>
      <c r="L22" s="2" t="n"/>
      <c r="M22" s="2" t="n"/>
      <c r="N22" s="2">
        <f>IF(OR(K22="",H22=""),"",IF((K22="met")=(H22="met"),1,0))</f>
        <v/>
      </c>
      <c r="O22" s="2">
        <f>IF(OR(L22="",H22=""),"",IF((L22="met")=(H22="met"),1,0))</f>
        <v/>
      </c>
      <c r="P22" s="2">
        <f>IF(OR(M22="",H22=""),"",IF((M22="met")=(H22="met"),1,0))</f>
        <v/>
      </c>
    </row>
    <row r="23">
      <c r="A23" s="2" t="inlineStr">
        <is>
          <t>A03-06</t>
        </is>
      </c>
      <c r="B23" s="2">
        <f>Key!B23</f>
        <v/>
      </c>
      <c r="C23" s="2">
        <f>Key!C23</f>
        <v/>
      </c>
      <c r="D23" s="2">
        <f>IF(Key!D23="","",Key!D23)</f>
        <v/>
      </c>
      <c r="E23" s="2">
        <f>IF(Label_Answers!F23="","",Label_Answers!F23)</f>
        <v/>
      </c>
      <c r="F23" s="2">
        <f>IF(Label_Answers!G23="","",Label_Answers!G23)</f>
        <v/>
      </c>
      <c r="G23" s="5" t="n"/>
      <c r="H23" s="2">
        <f>IF(G23&lt;&gt;"",G23,IF(AND(E23&lt;&gt;"",E23=F23,E23&lt;&gt;"unsure"),E23,""))</f>
        <v/>
      </c>
      <c r="I23" s="2">
        <f>IF(AND(OR(E23="met",E23="not_met"),OR(F23="met",F23="not_met")),1,0)</f>
        <v/>
      </c>
      <c r="J23" s="2">
        <f>IF(I23=1,IF(E23=F23,1,0),"")</f>
        <v/>
      </c>
      <c r="K23" s="2" t="n"/>
      <c r="L23" s="2" t="n"/>
      <c r="M23" s="2" t="n"/>
      <c r="N23" s="2">
        <f>IF(OR(K23="",H23=""),"",IF((K23="met")=(H23="met"),1,0))</f>
        <v/>
      </c>
      <c r="O23" s="2">
        <f>IF(OR(L23="",H23=""),"",IF((L23="met")=(H23="met"),1,0))</f>
        <v/>
      </c>
      <c r="P23" s="2">
        <f>IF(OR(M23="",H23=""),"",IF((M23="met")=(H23="met"),1,0))</f>
        <v/>
      </c>
    </row>
    <row r="24">
      <c r="A24" s="2" t="inlineStr">
        <is>
          <t>A03-07</t>
        </is>
      </c>
      <c r="B24" s="2">
        <f>Key!B24</f>
        <v/>
      </c>
      <c r="C24" s="2">
        <f>Key!C24</f>
        <v/>
      </c>
      <c r="D24" s="2">
        <f>IF(Key!D24="","",Key!D24)</f>
        <v/>
      </c>
      <c r="E24" s="2">
        <f>IF(Label_Answers!F24="","",Label_Answers!F24)</f>
        <v/>
      </c>
      <c r="F24" s="2">
        <f>IF(Label_Answers!G24="","",Label_Answers!G24)</f>
        <v/>
      </c>
      <c r="G24" s="5" t="n"/>
      <c r="H24" s="2">
        <f>IF(G24&lt;&gt;"",G24,IF(AND(E24&lt;&gt;"",E24=F24,E24&lt;&gt;"unsure"),E24,""))</f>
        <v/>
      </c>
      <c r="I24" s="2">
        <f>IF(AND(OR(E24="met",E24="not_met"),OR(F24="met",F24="not_met")),1,0)</f>
        <v/>
      </c>
      <c r="J24" s="2">
        <f>IF(I24=1,IF(E24=F24,1,0),"")</f>
        <v/>
      </c>
      <c r="K24" s="2" t="n"/>
      <c r="L24" s="2" t="n"/>
      <c r="M24" s="2" t="n"/>
      <c r="N24" s="2">
        <f>IF(OR(K24="",H24=""),"",IF((K24="met")=(H24="met"),1,0))</f>
        <v/>
      </c>
      <c r="O24" s="2">
        <f>IF(OR(L24="",H24=""),"",IF((L24="met")=(H24="met"),1,0))</f>
        <v/>
      </c>
      <c r="P24" s="2">
        <f>IF(OR(M24="",H24=""),"",IF((M24="met")=(H24="met"),1,0))</f>
        <v/>
      </c>
    </row>
    <row r="25">
      <c r="A25" s="2" t="inlineStr">
        <is>
          <t>A04-01</t>
        </is>
      </c>
      <c r="B25" s="2">
        <f>Key!B25</f>
        <v/>
      </c>
      <c r="C25" s="2">
        <f>Key!C25</f>
        <v/>
      </c>
      <c r="D25" s="2">
        <f>IF(Key!D25="","",Key!D25)</f>
        <v/>
      </c>
      <c r="E25" s="2">
        <f>IF(Label_Answers!F25="","",Label_Answers!F25)</f>
        <v/>
      </c>
      <c r="F25" s="2">
        <f>IF(Label_Answers!G25="","",Label_Answers!G25)</f>
        <v/>
      </c>
      <c r="G25" s="5" t="n"/>
      <c r="H25" s="2">
        <f>IF(G25&lt;&gt;"",G25,IF(AND(E25&lt;&gt;"",E25=F25,E25&lt;&gt;"unsure"),E25,""))</f>
        <v/>
      </c>
      <c r="I25" s="2">
        <f>IF(AND(OR(E25="met",E25="not_met"),OR(F25="met",F25="not_met")),1,0)</f>
        <v/>
      </c>
      <c r="J25" s="2">
        <f>IF(I25=1,IF(E25=F25,1,0),"")</f>
        <v/>
      </c>
      <c r="K25" s="2" t="n"/>
      <c r="L25" s="2" t="n"/>
      <c r="M25" s="2" t="n"/>
      <c r="N25" s="2">
        <f>IF(OR(K25="",H25=""),"",IF((K25="met")=(H25="met"),1,0))</f>
        <v/>
      </c>
      <c r="O25" s="2">
        <f>IF(OR(L25="",H25=""),"",IF((L25="met")=(H25="met"),1,0))</f>
        <v/>
      </c>
      <c r="P25" s="2">
        <f>IF(OR(M25="",H25=""),"",IF((M25="met")=(H25="met"),1,0))</f>
        <v/>
      </c>
    </row>
    <row r="26">
      <c r="A26" s="2" t="inlineStr">
        <is>
          <t>A04-02</t>
        </is>
      </c>
      <c r="B26" s="2">
        <f>Key!B26</f>
        <v/>
      </c>
      <c r="C26" s="2">
        <f>Key!C26</f>
        <v/>
      </c>
      <c r="D26" s="2">
        <f>IF(Key!D26="","",Key!D26)</f>
        <v/>
      </c>
      <c r="E26" s="2">
        <f>IF(Label_Answers!F26="","",Label_Answers!F26)</f>
        <v/>
      </c>
      <c r="F26" s="2">
        <f>IF(Label_Answers!G26="","",Label_Answers!G26)</f>
        <v/>
      </c>
      <c r="G26" s="5" t="n"/>
      <c r="H26" s="2">
        <f>IF(G26&lt;&gt;"",G26,IF(AND(E26&lt;&gt;"",E26=F26,E26&lt;&gt;"unsure"),E26,""))</f>
        <v/>
      </c>
      <c r="I26" s="2">
        <f>IF(AND(OR(E26="met",E26="not_met"),OR(F26="met",F26="not_met")),1,0)</f>
        <v/>
      </c>
      <c r="J26" s="2">
        <f>IF(I26=1,IF(E26=F26,1,0),"")</f>
        <v/>
      </c>
      <c r="K26" s="2" t="n"/>
      <c r="L26" s="2" t="n"/>
      <c r="M26" s="2" t="n"/>
      <c r="N26" s="2">
        <f>IF(OR(K26="",H26=""),"",IF((K26="met")=(H26="met"),1,0))</f>
        <v/>
      </c>
      <c r="O26" s="2">
        <f>IF(OR(L26="",H26=""),"",IF((L26="met")=(H26="met"),1,0))</f>
        <v/>
      </c>
      <c r="P26" s="2">
        <f>IF(OR(M26="",H26=""),"",IF((M26="met")=(H26="met"),1,0))</f>
        <v/>
      </c>
    </row>
    <row r="27">
      <c r="A27" s="2" t="inlineStr">
        <is>
          <t>A04-03</t>
        </is>
      </c>
      <c r="B27" s="2">
        <f>Key!B27</f>
        <v/>
      </c>
      <c r="C27" s="2">
        <f>Key!C27</f>
        <v/>
      </c>
      <c r="D27" s="2">
        <f>IF(Key!D27="","",Key!D27)</f>
        <v/>
      </c>
      <c r="E27" s="2">
        <f>IF(Label_Answers!F27="","",Label_Answers!F27)</f>
        <v/>
      </c>
      <c r="F27" s="2">
        <f>IF(Label_Answers!G27="","",Label_Answers!G27)</f>
        <v/>
      </c>
      <c r="G27" s="5" t="n"/>
      <c r="H27" s="2">
        <f>IF(G27&lt;&gt;"",G27,IF(AND(E27&lt;&gt;"",E27=F27,E27&lt;&gt;"unsure"),E27,""))</f>
        <v/>
      </c>
      <c r="I27" s="2">
        <f>IF(AND(OR(E27="met",E27="not_met"),OR(F27="met",F27="not_met")),1,0)</f>
        <v/>
      </c>
      <c r="J27" s="2">
        <f>IF(I27=1,IF(E27=F27,1,0),"")</f>
        <v/>
      </c>
      <c r="K27" s="2" t="n"/>
      <c r="L27" s="2" t="n"/>
      <c r="M27" s="2" t="n"/>
      <c r="N27" s="2">
        <f>IF(OR(K27="",H27=""),"",IF((K27="met")=(H27="met"),1,0))</f>
        <v/>
      </c>
      <c r="O27" s="2">
        <f>IF(OR(L27="",H27=""),"",IF((L27="met")=(H27="met"),1,0))</f>
        <v/>
      </c>
      <c r="P27" s="2">
        <f>IF(OR(M27="",H27=""),"",IF((M27="met")=(H27="met"),1,0))</f>
        <v/>
      </c>
    </row>
    <row r="28">
      <c r="A28" s="2" t="inlineStr">
        <is>
          <t>A04-04</t>
        </is>
      </c>
      <c r="B28" s="2">
        <f>Key!B28</f>
        <v/>
      </c>
      <c r="C28" s="2">
        <f>Key!C28</f>
        <v/>
      </c>
      <c r="D28" s="2">
        <f>IF(Key!D28="","",Key!D28)</f>
        <v/>
      </c>
      <c r="E28" s="2">
        <f>IF(Label_Answers!F28="","",Label_Answers!F28)</f>
        <v/>
      </c>
      <c r="F28" s="2">
        <f>IF(Label_Answers!G28="","",Label_Answers!G28)</f>
        <v/>
      </c>
      <c r="G28" s="5" t="n"/>
      <c r="H28" s="2">
        <f>IF(G28&lt;&gt;"",G28,IF(AND(E28&lt;&gt;"",E28=F28,E28&lt;&gt;"unsure"),E28,""))</f>
        <v/>
      </c>
      <c r="I28" s="2">
        <f>IF(AND(OR(E28="met",E28="not_met"),OR(F28="met",F28="not_met")),1,0)</f>
        <v/>
      </c>
      <c r="J28" s="2">
        <f>IF(I28=1,IF(E28=F28,1,0),"")</f>
        <v/>
      </c>
      <c r="K28" s="2" t="n"/>
      <c r="L28" s="2" t="n"/>
      <c r="M28" s="2" t="n"/>
      <c r="N28" s="2">
        <f>IF(OR(K28="",H28=""),"",IF((K28="met")=(H28="met"),1,0))</f>
        <v/>
      </c>
      <c r="O28" s="2">
        <f>IF(OR(L28="",H28=""),"",IF((L28="met")=(H28="met"),1,0))</f>
        <v/>
      </c>
      <c r="P28" s="2">
        <f>IF(OR(M28="",H28=""),"",IF((M28="met")=(H28="met"),1,0))</f>
        <v/>
      </c>
    </row>
    <row r="29">
      <c r="A29" s="2" t="inlineStr">
        <is>
          <t>A04-05</t>
        </is>
      </c>
      <c r="B29" s="2">
        <f>Key!B29</f>
        <v/>
      </c>
      <c r="C29" s="2">
        <f>Key!C29</f>
        <v/>
      </c>
      <c r="D29" s="2">
        <f>IF(Key!D29="","",Key!D29)</f>
        <v/>
      </c>
      <c r="E29" s="2">
        <f>IF(Label_Answers!F29="","",Label_Answers!F29)</f>
        <v/>
      </c>
      <c r="F29" s="2">
        <f>IF(Label_Answers!G29="","",Label_Answers!G29)</f>
        <v/>
      </c>
      <c r="G29" s="5" t="n"/>
      <c r="H29" s="2">
        <f>IF(G29&lt;&gt;"",G29,IF(AND(E29&lt;&gt;"",E29=F29,E29&lt;&gt;"unsure"),E29,""))</f>
        <v/>
      </c>
      <c r="I29" s="2">
        <f>IF(AND(OR(E29="met",E29="not_met"),OR(F29="met",F29="not_met")),1,0)</f>
        <v/>
      </c>
      <c r="J29" s="2">
        <f>IF(I29=1,IF(E29=F29,1,0),"")</f>
        <v/>
      </c>
      <c r="K29" s="2" t="n"/>
      <c r="L29" s="2" t="n"/>
      <c r="M29" s="2" t="n"/>
      <c r="N29" s="2">
        <f>IF(OR(K29="",H29=""),"",IF((K29="met")=(H29="met"),1,0))</f>
        <v/>
      </c>
      <c r="O29" s="2">
        <f>IF(OR(L29="",H29=""),"",IF((L29="met")=(H29="met"),1,0))</f>
        <v/>
      </c>
      <c r="P29" s="2">
        <f>IF(OR(M29="",H29=""),"",IF((M29="met")=(H29="met"),1,0))</f>
        <v/>
      </c>
    </row>
    <row r="30">
      <c r="A30" s="2" t="inlineStr">
        <is>
          <t>A04-06</t>
        </is>
      </c>
      <c r="B30" s="2">
        <f>Key!B30</f>
        <v/>
      </c>
      <c r="C30" s="2">
        <f>Key!C30</f>
        <v/>
      </c>
      <c r="D30" s="2">
        <f>IF(Key!D30="","",Key!D30)</f>
        <v/>
      </c>
      <c r="E30" s="2">
        <f>IF(Label_Answers!F30="","",Label_Answers!F30)</f>
        <v/>
      </c>
      <c r="F30" s="2">
        <f>IF(Label_Answers!G30="","",Label_Answers!G30)</f>
        <v/>
      </c>
      <c r="G30" s="5" t="n"/>
      <c r="H30" s="2">
        <f>IF(G30&lt;&gt;"",G30,IF(AND(E30&lt;&gt;"",E30=F30,E30&lt;&gt;"unsure"),E30,""))</f>
        <v/>
      </c>
      <c r="I30" s="2">
        <f>IF(AND(OR(E30="met",E30="not_met"),OR(F30="met",F30="not_met")),1,0)</f>
        <v/>
      </c>
      <c r="J30" s="2">
        <f>IF(I30=1,IF(E30=F30,1,0),"")</f>
        <v/>
      </c>
      <c r="K30" s="2" t="n"/>
      <c r="L30" s="2" t="n"/>
      <c r="M30" s="2" t="n"/>
      <c r="N30" s="2">
        <f>IF(OR(K30="",H30=""),"",IF((K30="met")=(H30="met"),1,0))</f>
        <v/>
      </c>
      <c r="O30" s="2">
        <f>IF(OR(L30="",H30=""),"",IF((L30="met")=(H30="met"),1,0))</f>
        <v/>
      </c>
      <c r="P30" s="2">
        <f>IF(OR(M30="",H30=""),"",IF((M30="met")=(H30="met"),1,0))</f>
        <v/>
      </c>
    </row>
    <row r="31">
      <c r="A31" s="2" t="inlineStr">
        <is>
          <t>A04-07</t>
        </is>
      </c>
      <c r="B31" s="2">
        <f>Key!B31</f>
        <v/>
      </c>
      <c r="C31" s="2">
        <f>Key!C31</f>
        <v/>
      </c>
      <c r="D31" s="2">
        <f>IF(Key!D31="","",Key!D31)</f>
        <v/>
      </c>
      <c r="E31" s="2">
        <f>IF(Label_Answers!F31="","",Label_Answers!F31)</f>
        <v/>
      </c>
      <c r="F31" s="2">
        <f>IF(Label_Answers!G31="","",Label_Answers!G31)</f>
        <v/>
      </c>
      <c r="G31" s="5" t="n"/>
      <c r="H31" s="2">
        <f>IF(G31&lt;&gt;"",G31,IF(AND(E31&lt;&gt;"",E31=F31,E31&lt;&gt;"unsure"),E31,""))</f>
        <v/>
      </c>
      <c r="I31" s="2">
        <f>IF(AND(OR(E31="met",E31="not_met"),OR(F31="met",F31="not_met")),1,0)</f>
        <v/>
      </c>
      <c r="J31" s="2">
        <f>IF(I31=1,IF(E31=F31,1,0),"")</f>
        <v/>
      </c>
      <c r="K31" s="2" t="n"/>
      <c r="L31" s="2" t="n"/>
      <c r="M31" s="2" t="n"/>
      <c r="N31" s="2">
        <f>IF(OR(K31="",H31=""),"",IF((K31="met")=(H31="met"),1,0))</f>
        <v/>
      </c>
      <c r="O31" s="2">
        <f>IF(OR(L31="",H31=""),"",IF((L31="met")=(H31="met"),1,0))</f>
        <v/>
      </c>
      <c r="P31" s="2">
        <f>IF(OR(M31="",H31=""),"",IF((M31="met")=(H31="met"),1,0))</f>
        <v/>
      </c>
    </row>
    <row r="32">
      <c r="A32" s="2" t="inlineStr">
        <is>
          <t>A04-08</t>
        </is>
      </c>
      <c r="B32" s="2">
        <f>Key!B32</f>
        <v/>
      </c>
      <c r="C32" s="2">
        <f>Key!C32</f>
        <v/>
      </c>
      <c r="D32" s="2">
        <f>IF(Key!D32="","",Key!D32)</f>
        <v/>
      </c>
      <c r="E32" s="2">
        <f>IF(Label_Answers!F32="","",Label_Answers!F32)</f>
        <v/>
      </c>
      <c r="F32" s="2">
        <f>IF(Label_Answers!G32="","",Label_Answers!G32)</f>
        <v/>
      </c>
      <c r="G32" s="5" t="n"/>
      <c r="H32" s="2">
        <f>IF(G32&lt;&gt;"",G32,IF(AND(E32&lt;&gt;"",E32=F32,E32&lt;&gt;"unsure"),E32,""))</f>
        <v/>
      </c>
      <c r="I32" s="2">
        <f>IF(AND(OR(E32="met",E32="not_met"),OR(F32="met",F32="not_met")),1,0)</f>
        <v/>
      </c>
      <c r="J32" s="2">
        <f>IF(I32=1,IF(E32=F32,1,0),"")</f>
        <v/>
      </c>
      <c r="K32" s="2" t="n"/>
      <c r="L32" s="2" t="n"/>
      <c r="M32" s="2" t="n"/>
      <c r="N32" s="2">
        <f>IF(OR(K32="",H32=""),"",IF((K32="met")=(H32="met"),1,0))</f>
        <v/>
      </c>
      <c r="O32" s="2">
        <f>IF(OR(L32="",H32=""),"",IF((L32="met")=(H32="met"),1,0))</f>
        <v/>
      </c>
      <c r="P32" s="2">
        <f>IF(OR(M32="",H32=""),"",IF((M32="met")=(H32="met"),1,0))</f>
        <v/>
      </c>
    </row>
    <row r="33">
      <c r="A33" s="2" t="inlineStr">
        <is>
          <t>A05-01</t>
        </is>
      </c>
      <c r="B33" s="2">
        <f>Key!B33</f>
        <v/>
      </c>
      <c r="C33" s="2">
        <f>Key!C33</f>
        <v/>
      </c>
      <c r="D33" s="2">
        <f>IF(Key!D33="","",Key!D33)</f>
        <v/>
      </c>
      <c r="E33" s="2">
        <f>IF(Label_Answers!F33="","",Label_Answers!F33)</f>
        <v/>
      </c>
      <c r="F33" s="2">
        <f>IF(Label_Answers!G33="","",Label_Answers!G33)</f>
        <v/>
      </c>
      <c r="G33" s="5" t="n"/>
      <c r="H33" s="2">
        <f>IF(G33&lt;&gt;"",G33,IF(AND(E33&lt;&gt;"",E33=F33,E33&lt;&gt;"unsure"),E33,""))</f>
        <v/>
      </c>
      <c r="I33" s="2">
        <f>IF(AND(OR(E33="met",E33="not_met"),OR(F33="met",F33="not_met")),1,0)</f>
        <v/>
      </c>
      <c r="J33" s="2">
        <f>IF(I33=1,IF(E33=F33,1,0),"")</f>
        <v/>
      </c>
      <c r="K33" s="2" t="n"/>
      <c r="L33" s="2" t="n"/>
      <c r="M33" s="2" t="n"/>
      <c r="N33" s="2">
        <f>IF(OR(K33="",H33=""),"",IF((K33="met")=(H33="met"),1,0))</f>
        <v/>
      </c>
      <c r="O33" s="2">
        <f>IF(OR(L33="",H33=""),"",IF((L33="met")=(H33="met"),1,0))</f>
        <v/>
      </c>
      <c r="P33" s="2">
        <f>IF(OR(M33="",H33=""),"",IF((M33="met")=(H33="met"),1,0))</f>
        <v/>
      </c>
    </row>
    <row r="34">
      <c r="A34" s="2" t="inlineStr">
        <is>
          <t>A05-02</t>
        </is>
      </c>
      <c r="B34" s="2">
        <f>Key!B34</f>
        <v/>
      </c>
      <c r="C34" s="2">
        <f>Key!C34</f>
        <v/>
      </c>
      <c r="D34" s="2">
        <f>IF(Key!D34="","",Key!D34)</f>
        <v/>
      </c>
      <c r="E34" s="2">
        <f>IF(Label_Answers!F34="","",Label_Answers!F34)</f>
        <v/>
      </c>
      <c r="F34" s="2">
        <f>IF(Label_Answers!G34="","",Label_Answers!G34)</f>
        <v/>
      </c>
      <c r="G34" s="5" t="n"/>
      <c r="H34" s="2">
        <f>IF(G34&lt;&gt;"",G34,IF(AND(E34&lt;&gt;"",E34=F34,E34&lt;&gt;"unsure"),E34,""))</f>
        <v/>
      </c>
      <c r="I34" s="2">
        <f>IF(AND(OR(E34="met",E34="not_met"),OR(F34="met",F34="not_met")),1,0)</f>
        <v/>
      </c>
      <c r="J34" s="2">
        <f>IF(I34=1,IF(E34=F34,1,0),"")</f>
        <v/>
      </c>
      <c r="K34" s="2" t="n"/>
      <c r="L34" s="2" t="n"/>
      <c r="M34" s="2" t="n"/>
      <c r="N34" s="2">
        <f>IF(OR(K34="",H34=""),"",IF((K34="met")=(H34="met"),1,0))</f>
        <v/>
      </c>
      <c r="O34" s="2">
        <f>IF(OR(L34="",H34=""),"",IF((L34="met")=(H34="met"),1,0))</f>
        <v/>
      </c>
      <c r="P34" s="2">
        <f>IF(OR(M34="",H34=""),"",IF((M34="met")=(H34="met"),1,0))</f>
        <v/>
      </c>
    </row>
    <row r="35">
      <c r="A35" s="2" t="inlineStr">
        <is>
          <t>A05-03</t>
        </is>
      </c>
      <c r="B35" s="2">
        <f>Key!B35</f>
        <v/>
      </c>
      <c r="C35" s="2">
        <f>Key!C35</f>
        <v/>
      </c>
      <c r="D35" s="2">
        <f>IF(Key!D35="","",Key!D35)</f>
        <v/>
      </c>
      <c r="E35" s="2">
        <f>IF(Label_Answers!F35="","",Label_Answers!F35)</f>
        <v/>
      </c>
      <c r="F35" s="2">
        <f>IF(Label_Answers!G35="","",Label_Answers!G35)</f>
        <v/>
      </c>
      <c r="G35" s="5" t="n"/>
      <c r="H35" s="2">
        <f>IF(G35&lt;&gt;"",G35,IF(AND(E35&lt;&gt;"",E35=F35,E35&lt;&gt;"unsure"),E35,""))</f>
        <v/>
      </c>
      <c r="I35" s="2">
        <f>IF(AND(OR(E35="met",E35="not_met"),OR(F35="met",F35="not_met")),1,0)</f>
        <v/>
      </c>
      <c r="J35" s="2">
        <f>IF(I35=1,IF(E35=F35,1,0),"")</f>
        <v/>
      </c>
      <c r="K35" s="2" t="n"/>
      <c r="L35" s="2" t="n"/>
      <c r="M35" s="2" t="n"/>
      <c r="N35" s="2">
        <f>IF(OR(K35="",H35=""),"",IF((K35="met")=(H35="met"),1,0))</f>
        <v/>
      </c>
      <c r="O35" s="2">
        <f>IF(OR(L35="",H35=""),"",IF((L35="met")=(H35="met"),1,0))</f>
        <v/>
      </c>
      <c r="P35" s="2">
        <f>IF(OR(M35="",H35=""),"",IF((M35="met")=(H35="met"),1,0))</f>
        <v/>
      </c>
    </row>
    <row r="36">
      <c r="A36" s="2" t="inlineStr">
        <is>
          <t>A05-04</t>
        </is>
      </c>
      <c r="B36" s="2">
        <f>Key!B36</f>
        <v/>
      </c>
      <c r="C36" s="2">
        <f>Key!C36</f>
        <v/>
      </c>
      <c r="D36" s="2">
        <f>IF(Key!D36="","",Key!D36)</f>
        <v/>
      </c>
      <c r="E36" s="2">
        <f>IF(Label_Answers!F36="","",Label_Answers!F36)</f>
        <v/>
      </c>
      <c r="F36" s="2">
        <f>IF(Label_Answers!G36="","",Label_Answers!G36)</f>
        <v/>
      </c>
      <c r="G36" s="5" t="n"/>
      <c r="H36" s="2">
        <f>IF(G36&lt;&gt;"",G36,IF(AND(E36&lt;&gt;"",E36=F36,E36&lt;&gt;"unsure"),E36,""))</f>
        <v/>
      </c>
      <c r="I36" s="2">
        <f>IF(AND(OR(E36="met",E36="not_met"),OR(F36="met",F36="not_met")),1,0)</f>
        <v/>
      </c>
      <c r="J36" s="2">
        <f>IF(I36=1,IF(E36=F36,1,0),"")</f>
        <v/>
      </c>
      <c r="K36" s="2" t="n"/>
      <c r="L36" s="2" t="n"/>
      <c r="M36" s="2" t="n"/>
      <c r="N36" s="2">
        <f>IF(OR(K36="",H36=""),"",IF((K36="met")=(H36="met"),1,0))</f>
        <v/>
      </c>
      <c r="O36" s="2">
        <f>IF(OR(L36="",H36=""),"",IF((L36="met")=(H36="met"),1,0))</f>
        <v/>
      </c>
      <c r="P36" s="2">
        <f>IF(OR(M36="",H36=""),"",IF((M36="met")=(H36="met"),1,0))</f>
        <v/>
      </c>
    </row>
    <row r="37">
      <c r="A37" s="2" t="inlineStr">
        <is>
          <t>A05-05</t>
        </is>
      </c>
      <c r="B37" s="2">
        <f>Key!B37</f>
        <v/>
      </c>
      <c r="C37" s="2">
        <f>Key!C37</f>
        <v/>
      </c>
      <c r="D37" s="2">
        <f>IF(Key!D37="","",Key!D37)</f>
        <v/>
      </c>
      <c r="E37" s="2">
        <f>IF(Label_Answers!F37="","",Label_Answers!F37)</f>
        <v/>
      </c>
      <c r="F37" s="2">
        <f>IF(Label_Answers!G37="","",Label_Answers!G37)</f>
        <v/>
      </c>
      <c r="G37" s="5" t="n"/>
      <c r="H37" s="2">
        <f>IF(G37&lt;&gt;"",G37,IF(AND(E37&lt;&gt;"",E37=F37,E37&lt;&gt;"unsure"),E37,""))</f>
        <v/>
      </c>
      <c r="I37" s="2">
        <f>IF(AND(OR(E37="met",E37="not_met"),OR(F37="met",F37="not_met")),1,0)</f>
        <v/>
      </c>
      <c r="J37" s="2">
        <f>IF(I37=1,IF(E37=F37,1,0),"")</f>
        <v/>
      </c>
      <c r="K37" s="2" t="n"/>
      <c r="L37" s="2" t="n"/>
      <c r="M37" s="2" t="n"/>
      <c r="N37" s="2">
        <f>IF(OR(K37="",H37=""),"",IF((K37="met")=(H37="met"),1,0))</f>
        <v/>
      </c>
      <c r="O37" s="2">
        <f>IF(OR(L37="",H37=""),"",IF((L37="met")=(H37="met"),1,0))</f>
        <v/>
      </c>
      <c r="P37" s="2">
        <f>IF(OR(M37="",H37=""),"",IF((M37="met")=(H37="met"),1,0))</f>
        <v/>
      </c>
    </row>
    <row r="38">
      <c r="A38" s="2" t="inlineStr">
        <is>
          <t>A05-06</t>
        </is>
      </c>
      <c r="B38" s="2">
        <f>Key!B38</f>
        <v/>
      </c>
      <c r="C38" s="2">
        <f>Key!C38</f>
        <v/>
      </c>
      <c r="D38" s="2">
        <f>IF(Key!D38="","",Key!D38)</f>
        <v/>
      </c>
      <c r="E38" s="2">
        <f>IF(Label_Answers!F38="","",Label_Answers!F38)</f>
        <v/>
      </c>
      <c r="F38" s="2">
        <f>IF(Label_Answers!G38="","",Label_Answers!G38)</f>
        <v/>
      </c>
      <c r="G38" s="5" t="n"/>
      <c r="H38" s="2">
        <f>IF(G38&lt;&gt;"",G38,IF(AND(E38&lt;&gt;"",E38=F38,E38&lt;&gt;"unsure"),E38,""))</f>
        <v/>
      </c>
      <c r="I38" s="2">
        <f>IF(AND(OR(E38="met",E38="not_met"),OR(F38="met",F38="not_met")),1,0)</f>
        <v/>
      </c>
      <c r="J38" s="2">
        <f>IF(I38=1,IF(E38=F38,1,0),"")</f>
        <v/>
      </c>
      <c r="K38" s="2" t="n"/>
      <c r="L38" s="2" t="n"/>
      <c r="M38" s="2" t="n"/>
      <c r="N38" s="2">
        <f>IF(OR(K38="",H38=""),"",IF((K38="met")=(H38="met"),1,0))</f>
        <v/>
      </c>
      <c r="O38" s="2">
        <f>IF(OR(L38="",H38=""),"",IF((L38="met")=(H38="met"),1,0))</f>
        <v/>
      </c>
      <c r="P38" s="2">
        <f>IF(OR(M38="",H38=""),"",IF((M38="met")=(H38="met"),1,0))</f>
        <v/>
      </c>
    </row>
    <row r="39">
      <c r="A39" s="2" t="inlineStr">
        <is>
          <t>A05-07</t>
        </is>
      </c>
      <c r="B39" s="2">
        <f>Key!B39</f>
        <v/>
      </c>
      <c r="C39" s="2">
        <f>Key!C39</f>
        <v/>
      </c>
      <c r="D39" s="2">
        <f>IF(Key!D39="","",Key!D39)</f>
        <v/>
      </c>
      <c r="E39" s="2">
        <f>IF(Label_Answers!F39="","",Label_Answers!F39)</f>
        <v/>
      </c>
      <c r="F39" s="2">
        <f>IF(Label_Answers!G39="","",Label_Answers!G39)</f>
        <v/>
      </c>
      <c r="G39" s="5" t="n"/>
      <c r="H39" s="2">
        <f>IF(G39&lt;&gt;"",G39,IF(AND(E39&lt;&gt;"",E39=F39,E39&lt;&gt;"unsure"),E39,""))</f>
        <v/>
      </c>
      <c r="I39" s="2">
        <f>IF(AND(OR(E39="met",E39="not_met"),OR(F39="met",F39="not_met")),1,0)</f>
        <v/>
      </c>
      <c r="J39" s="2">
        <f>IF(I39=1,IF(E39=F39,1,0),"")</f>
        <v/>
      </c>
      <c r="K39" s="2" t="n"/>
      <c r="L39" s="2" t="n"/>
      <c r="M39" s="2" t="n"/>
      <c r="N39" s="2">
        <f>IF(OR(K39="",H39=""),"",IF((K39="met")=(H39="met"),1,0))</f>
        <v/>
      </c>
      <c r="O39" s="2">
        <f>IF(OR(L39="",H39=""),"",IF((L39="met")=(H39="met"),1,0))</f>
        <v/>
      </c>
      <c r="P39" s="2">
        <f>IF(OR(M39="",H39=""),"",IF((M39="met")=(H39="met"),1,0))</f>
        <v/>
      </c>
    </row>
    <row r="40">
      <c r="A40" s="2" t="inlineStr">
        <is>
          <t>A06-01</t>
        </is>
      </c>
      <c r="B40" s="2">
        <f>Key!B40</f>
        <v/>
      </c>
      <c r="C40" s="2">
        <f>Key!C40</f>
        <v/>
      </c>
      <c r="D40" s="2">
        <f>IF(Key!D40="","",Key!D40)</f>
        <v/>
      </c>
      <c r="E40" s="2">
        <f>IF(Label_Answers!F40="","",Label_Answers!F40)</f>
        <v/>
      </c>
      <c r="F40" s="2">
        <f>IF(Label_Answers!G40="","",Label_Answers!G40)</f>
        <v/>
      </c>
      <c r="G40" s="5" t="n"/>
      <c r="H40" s="2">
        <f>IF(G40&lt;&gt;"",G40,IF(AND(E40&lt;&gt;"",E40=F40,E40&lt;&gt;"unsure"),E40,""))</f>
        <v/>
      </c>
      <c r="I40" s="2">
        <f>IF(AND(OR(E40="met",E40="not_met"),OR(F40="met",F40="not_met")),1,0)</f>
        <v/>
      </c>
      <c r="J40" s="2">
        <f>IF(I40=1,IF(E40=F40,1,0),"")</f>
        <v/>
      </c>
      <c r="K40" s="2" t="n"/>
      <c r="L40" s="2" t="n"/>
      <c r="M40" s="2" t="n"/>
      <c r="N40" s="2">
        <f>IF(OR(K40="",H40=""),"",IF((K40="met")=(H40="met"),1,0))</f>
        <v/>
      </c>
      <c r="O40" s="2">
        <f>IF(OR(L40="",H40=""),"",IF((L40="met")=(H40="met"),1,0))</f>
        <v/>
      </c>
      <c r="P40" s="2">
        <f>IF(OR(M40="",H40=""),"",IF((M40="met")=(H40="met"),1,0))</f>
        <v/>
      </c>
    </row>
    <row r="41">
      <c r="A41" s="2" t="inlineStr">
        <is>
          <t>A06-02</t>
        </is>
      </c>
      <c r="B41" s="2">
        <f>Key!B41</f>
        <v/>
      </c>
      <c r="C41" s="2">
        <f>Key!C41</f>
        <v/>
      </c>
      <c r="D41" s="2">
        <f>IF(Key!D41="","",Key!D41)</f>
        <v/>
      </c>
      <c r="E41" s="2">
        <f>IF(Label_Answers!F41="","",Label_Answers!F41)</f>
        <v/>
      </c>
      <c r="F41" s="2">
        <f>IF(Label_Answers!G41="","",Label_Answers!G41)</f>
        <v/>
      </c>
      <c r="G41" s="5" t="n"/>
      <c r="H41" s="2">
        <f>IF(G41&lt;&gt;"",G41,IF(AND(E41&lt;&gt;"",E41=F41,E41&lt;&gt;"unsure"),E41,""))</f>
        <v/>
      </c>
      <c r="I41" s="2">
        <f>IF(AND(OR(E41="met",E41="not_met"),OR(F41="met",F41="not_met")),1,0)</f>
        <v/>
      </c>
      <c r="J41" s="2">
        <f>IF(I41=1,IF(E41=F41,1,0),"")</f>
        <v/>
      </c>
      <c r="K41" s="2" t="n"/>
      <c r="L41" s="2" t="n"/>
      <c r="M41" s="2" t="n"/>
      <c r="N41" s="2">
        <f>IF(OR(K41="",H41=""),"",IF((K41="met")=(H41="met"),1,0))</f>
        <v/>
      </c>
      <c r="O41" s="2">
        <f>IF(OR(L41="",H41=""),"",IF((L41="met")=(H41="met"),1,0))</f>
        <v/>
      </c>
      <c r="P41" s="2">
        <f>IF(OR(M41="",H41=""),"",IF((M41="met")=(H41="met"),1,0))</f>
        <v/>
      </c>
    </row>
    <row r="42">
      <c r="A42" s="2" t="inlineStr">
        <is>
          <t>A06-03</t>
        </is>
      </c>
      <c r="B42" s="2">
        <f>Key!B42</f>
        <v/>
      </c>
      <c r="C42" s="2">
        <f>Key!C42</f>
        <v/>
      </c>
      <c r="D42" s="2">
        <f>IF(Key!D42="","",Key!D42)</f>
        <v/>
      </c>
      <c r="E42" s="2">
        <f>IF(Label_Answers!F42="","",Label_Answers!F42)</f>
        <v/>
      </c>
      <c r="F42" s="2">
        <f>IF(Label_Answers!G42="","",Label_Answers!G42)</f>
        <v/>
      </c>
      <c r="G42" s="5" t="n"/>
      <c r="H42" s="2">
        <f>IF(G42&lt;&gt;"",G42,IF(AND(E42&lt;&gt;"",E42=F42,E42&lt;&gt;"unsure"),E42,""))</f>
        <v/>
      </c>
      <c r="I42" s="2">
        <f>IF(AND(OR(E42="met",E42="not_met"),OR(F42="met",F42="not_met")),1,0)</f>
        <v/>
      </c>
      <c r="J42" s="2">
        <f>IF(I42=1,IF(E42=F42,1,0),"")</f>
        <v/>
      </c>
      <c r="K42" s="2" t="n"/>
      <c r="L42" s="2" t="n"/>
      <c r="M42" s="2" t="n"/>
      <c r="N42" s="2">
        <f>IF(OR(K42="",H42=""),"",IF((K42="met")=(H42="met"),1,0))</f>
        <v/>
      </c>
      <c r="O42" s="2">
        <f>IF(OR(L42="",H42=""),"",IF((L42="met")=(H42="met"),1,0))</f>
        <v/>
      </c>
      <c r="P42" s="2">
        <f>IF(OR(M42="",H42=""),"",IF((M42="met")=(H42="met"),1,0))</f>
        <v/>
      </c>
    </row>
    <row r="43">
      <c r="A43" s="2" t="inlineStr">
        <is>
          <t>A06-04</t>
        </is>
      </c>
      <c r="B43" s="2">
        <f>Key!B43</f>
        <v/>
      </c>
      <c r="C43" s="2">
        <f>Key!C43</f>
        <v/>
      </c>
      <c r="D43" s="2">
        <f>IF(Key!D43="","",Key!D43)</f>
        <v/>
      </c>
      <c r="E43" s="2">
        <f>IF(Label_Answers!F43="","",Label_Answers!F43)</f>
        <v/>
      </c>
      <c r="F43" s="2">
        <f>IF(Label_Answers!G43="","",Label_Answers!G43)</f>
        <v/>
      </c>
      <c r="G43" s="5" t="n"/>
      <c r="H43" s="2">
        <f>IF(G43&lt;&gt;"",G43,IF(AND(E43&lt;&gt;"",E43=F43,E43&lt;&gt;"unsure"),E43,""))</f>
        <v/>
      </c>
      <c r="I43" s="2">
        <f>IF(AND(OR(E43="met",E43="not_met"),OR(F43="met",F43="not_met")),1,0)</f>
        <v/>
      </c>
      <c r="J43" s="2">
        <f>IF(I43=1,IF(E43=F43,1,0),"")</f>
        <v/>
      </c>
      <c r="K43" s="2" t="n"/>
      <c r="L43" s="2" t="n"/>
      <c r="M43" s="2" t="n"/>
      <c r="N43" s="2">
        <f>IF(OR(K43="",H43=""),"",IF((K43="met")=(H43="met"),1,0))</f>
        <v/>
      </c>
      <c r="O43" s="2">
        <f>IF(OR(L43="",H43=""),"",IF((L43="met")=(H43="met"),1,0))</f>
        <v/>
      </c>
      <c r="P43" s="2">
        <f>IF(OR(M43="",H43=""),"",IF((M43="met")=(H43="met"),1,0))</f>
        <v/>
      </c>
    </row>
    <row r="44">
      <c r="A44" s="2" t="inlineStr">
        <is>
          <t>A06-05</t>
        </is>
      </c>
      <c r="B44" s="2">
        <f>Key!B44</f>
        <v/>
      </c>
      <c r="C44" s="2">
        <f>Key!C44</f>
        <v/>
      </c>
      <c r="D44" s="2">
        <f>IF(Key!D44="","",Key!D44)</f>
        <v/>
      </c>
      <c r="E44" s="2">
        <f>IF(Label_Answers!F44="","",Label_Answers!F44)</f>
        <v/>
      </c>
      <c r="F44" s="2">
        <f>IF(Label_Answers!G44="","",Label_Answers!G44)</f>
        <v/>
      </c>
      <c r="G44" s="5" t="n"/>
      <c r="H44" s="2">
        <f>IF(G44&lt;&gt;"",G44,IF(AND(E44&lt;&gt;"",E44=F44,E44&lt;&gt;"unsure"),E44,""))</f>
        <v/>
      </c>
      <c r="I44" s="2">
        <f>IF(AND(OR(E44="met",E44="not_met"),OR(F44="met",F44="not_met")),1,0)</f>
        <v/>
      </c>
      <c r="J44" s="2">
        <f>IF(I44=1,IF(E44=F44,1,0),"")</f>
        <v/>
      </c>
      <c r="K44" s="2" t="n"/>
      <c r="L44" s="2" t="n"/>
      <c r="M44" s="2" t="n"/>
      <c r="N44" s="2">
        <f>IF(OR(K44="",H44=""),"",IF((K44="met")=(H44="met"),1,0))</f>
        <v/>
      </c>
      <c r="O44" s="2">
        <f>IF(OR(L44="",H44=""),"",IF((L44="met")=(H44="met"),1,0))</f>
        <v/>
      </c>
      <c r="P44" s="2">
        <f>IF(OR(M44="",H44=""),"",IF((M44="met")=(H44="met"),1,0))</f>
        <v/>
      </c>
    </row>
    <row r="45">
      <c r="A45" s="2" t="inlineStr">
        <is>
          <t>A06-06</t>
        </is>
      </c>
      <c r="B45" s="2">
        <f>Key!B45</f>
        <v/>
      </c>
      <c r="C45" s="2">
        <f>Key!C45</f>
        <v/>
      </c>
      <c r="D45" s="2">
        <f>IF(Key!D45="","",Key!D45)</f>
        <v/>
      </c>
      <c r="E45" s="2">
        <f>IF(Label_Answers!F45="","",Label_Answers!F45)</f>
        <v/>
      </c>
      <c r="F45" s="2">
        <f>IF(Label_Answers!G45="","",Label_Answers!G45)</f>
        <v/>
      </c>
      <c r="G45" s="5" t="n"/>
      <c r="H45" s="2">
        <f>IF(G45&lt;&gt;"",G45,IF(AND(E45&lt;&gt;"",E45=F45,E45&lt;&gt;"unsure"),E45,""))</f>
        <v/>
      </c>
      <c r="I45" s="2">
        <f>IF(AND(OR(E45="met",E45="not_met"),OR(F45="met",F45="not_met")),1,0)</f>
        <v/>
      </c>
      <c r="J45" s="2">
        <f>IF(I45=1,IF(E45=F45,1,0),"")</f>
        <v/>
      </c>
      <c r="K45" s="2" t="n"/>
      <c r="L45" s="2" t="n"/>
      <c r="M45" s="2" t="n"/>
      <c r="N45" s="2">
        <f>IF(OR(K45="",H45=""),"",IF((K45="met")=(H45="met"),1,0))</f>
        <v/>
      </c>
      <c r="O45" s="2">
        <f>IF(OR(L45="",H45=""),"",IF((L45="met")=(H45="met"),1,0))</f>
        <v/>
      </c>
      <c r="P45" s="2">
        <f>IF(OR(M45="",H45=""),"",IF((M45="met")=(H45="met"),1,0))</f>
        <v/>
      </c>
    </row>
    <row r="46">
      <c r="A46" s="2" t="inlineStr">
        <is>
          <t>A06-07</t>
        </is>
      </c>
      <c r="B46" s="2">
        <f>Key!B46</f>
        <v/>
      </c>
      <c r="C46" s="2">
        <f>Key!C46</f>
        <v/>
      </c>
      <c r="D46" s="2">
        <f>IF(Key!D46="","",Key!D46)</f>
        <v/>
      </c>
      <c r="E46" s="2">
        <f>IF(Label_Answers!F46="","",Label_Answers!F46)</f>
        <v/>
      </c>
      <c r="F46" s="2">
        <f>IF(Label_Answers!G46="","",Label_Answers!G46)</f>
        <v/>
      </c>
      <c r="G46" s="5" t="n"/>
      <c r="H46" s="2">
        <f>IF(G46&lt;&gt;"",G46,IF(AND(E46&lt;&gt;"",E46=F46,E46&lt;&gt;"unsure"),E46,""))</f>
        <v/>
      </c>
      <c r="I46" s="2">
        <f>IF(AND(OR(E46="met",E46="not_met"),OR(F46="met",F46="not_met")),1,0)</f>
        <v/>
      </c>
      <c r="J46" s="2">
        <f>IF(I46=1,IF(E46=F46,1,0),"")</f>
        <v/>
      </c>
      <c r="K46" s="2" t="n"/>
      <c r="L46" s="2" t="n"/>
      <c r="M46" s="2" t="n"/>
      <c r="N46" s="2">
        <f>IF(OR(K46="",H46=""),"",IF((K46="met")=(H46="met"),1,0))</f>
        <v/>
      </c>
      <c r="O46" s="2">
        <f>IF(OR(L46="",H46=""),"",IF((L46="met")=(H46="met"),1,0))</f>
        <v/>
      </c>
      <c r="P46" s="2">
        <f>IF(OR(M46="",H46=""),"",IF((M46="met")=(H46="met"),1,0))</f>
        <v/>
      </c>
    </row>
    <row r="47">
      <c r="A47" s="2" t="inlineStr">
        <is>
          <t>A07-01</t>
        </is>
      </c>
      <c r="B47" s="2">
        <f>Key!B47</f>
        <v/>
      </c>
      <c r="C47" s="2">
        <f>Key!C47</f>
        <v/>
      </c>
      <c r="D47" s="2">
        <f>IF(Key!D47="","",Key!D47)</f>
        <v/>
      </c>
      <c r="E47" s="2">
        <f>IF(Label_Answers!F47="","",Label_Answers!F47)</f>
        <v/>
      </c>
      <c r="F47" s="2">
        <f>IF(Label_Answers!G47="","",Label_Answers!G47)</f>
        <v/>
      </c>
      <c r="G47" s="5" t="n"/>
      <c r="H47" s="2">
        <f>IF(G47&lt;&gt;"",G47,IF(AND(E47&lt;&gt;"",E47=F47,E47&lt;&gt;"unsure"),E47,""))</f>
        <v/>
      </c>
      <c r="I47" s="2">
        <f>IF(AND(OR(E47="met",E47="not_met"),OR(F47="met",F47="not_met")),1,0)</f>
        <v/>
      </c>
      <c r="J47" s="2">
        <f>IF(I47=1,IF(E47=F47,1,0),"")</f>
        <v/>
      </c>
      <c r="K47" s="2" t="n"/>
      <c r="L47" s="2" t="n"/>
      <c r="M47" s="2" t="n"/>
      <c r="N47" s="2">
        <f>IF(OR(K47="",H47=""),"",IF((K47="met")=(H47="met"),1,0))</f>
        <v/>
      </c>
      <c r="O47" s="2">
        <f>IF(OR(L47="",H47=""),"",IF((L47="met")=(H47="met"),1,0))</f>
        <v/>
      </c>
      <c r="P47" s="2">
        <f>IF(OR(M47="",H47=""),"",IF((M47="met")=(H47="met"),1,0))</f>
        <v/>
      </c>
    </row>
    <row r="48">
      <c r="A48" s="2" t="inlineStr">
        <is>
          <t>A07-02</t>
        </is>
      </c>
      <c r="B48" s="2">
        <f>Key!B48</f>
        <v/>
      </c>
      <c r="C48" s="2">
        <f>Key!C48</f>
        <v/>
      </c>
      <c r="D48" s="2">
        <f>IF(Key!D48="","",Key!D48)</f>
        <v/>
      </c>
      <c r="E48" s="2">
        <f>IF(Label_Answers!F48="","",Label_Answers!F48)</f>
        <v/>
      </c>
      <c r="F48" s="2">
        <f>IF(Label_Answers!G48="","",Label_Answers!G48)</f>
        <v/>
      </c>
      <c r="G48" s="5" t="n"/>
      <c r="H48" s="2">
        <f>IF(G48&lt;&gt;"",G48,IF(AND(E48&lt;&gt;"",E48=F48,E48&lt;&gt;"unsure"),E48,""))</f>
        <v/>
      </c>
      <c r="I48" s="2">
        <f>IF(AND(OR(E48="met",E48="not_met"),OR(F48="met",F48="not_met")),1,0)</f>
        <v/>
      </c>
      <c r="J48" s="2">
        <f>IF(I48=1,IF(E48=F48,1,0),"")</f>
        <v/>
      </c>
      <c r="K48" s="2" t="n"/>
      <c r="L48" s="2" t="n"/>
      <c r="M48" s="2" t="n"/>
      <c r="N48" s="2">
        <f>IF(OR(K48="",H48=""),"",IF((K48="met")=(H48="met"),1,0))</f>
        <v/>
      </c>
      <c r="O48" s="2">
        <f>IF(OR(L48="",H48=""),"",IF((L48="met")=(H48="met"),1,0))</f>
        <v/>
      </c>
      <c r="P48" s="2">
        <f>IF(OR(M48="",H48=""),"",IF((M48="met")=(H48="met"),1,0))</f>
        <v/>
      </c>
    </row>
    <row r="49">
      <c r="A49" s="2" t="inlineStr">
        <is>
          <t>A07-03</t>
        </is>
      </c>
      <c r="B49" s="2">
        <f>Key!B49</f>
        <v/>
      </c>
      <c r="C49" s="2">
        <f>Key!C49</f>
        <v/>
      </c>
      <c r="D49" s="2">
        <f>IF(Key!D49="","",Key!D49)</f>
        <v/>
      </c>
      <c r="E49" s="2">
        <f>IF(Label_Answers!F49="","",Label_Answers!F49)</f>
        <v/>
      </c>
      <c r="F49" s="2">
        <f>IF(Label_Answers!G49="","",Label_Answers!G49)</f>
        <v/>
      </c>
      <c r="G49" s="5" t="n"/>
      <c r="H49" s="2">
        <f>IF(G49&lt;&gt;"",G49,IF(AND(E49&lt;&gt;"",E49=F49,E49&lt;&gt;"unsure"),E49,""))</f>
        <v/>
      </c>
      <c r="I49" s="2">
        <f>IF(AND(OR(E49="met",E49="not_met"),OR(F49="met",F49="not_met")),1,0)</f>
        <v/>
      </c>
      <c r="J49" s="2">
        <f>IF(I49=1,IF(E49=F49,1,0),"")</f>
        <v/>
      </c>
      <c r="K49" s="2" t="n"/>
      <c r="L49" s="2" t="n"/>
      <c r="M49" s="2" t="n"/>
      <c r="N49" s="2">
        <f>IF(OR(K49="",H49=""),"",IF((K49="met")=(H49="met"),1,0))</f>
        <v/>
      </c>
      <c r="O49" s="2">
        <f>IF(OR(L49="",H49=""),"",IF((L49="met")=(H49="met"),1,0))</f>
        <v/>
      </c>
      <c r="P49" s="2">
        <f>IF(OR(M49="",H49=""),"",IF((M49="met")=(H49="met"),1,0))</f>
        <v/>
      </c>
    </row>
    <row r="50">
      <c r="A50" s="2" t="inlineStr">
        <is>
          <t>A07-04</t>
        </is>
      </c>
      <c r="B50" s="2">
        <f>Key!B50</f>
        <v/>
      </c>
      <c r="C50" s="2">
        <f>Key!C50</f>
        <v/>
      </c>
      <c r="D50" s="2">
        <f>IF(Key!D50="","",Key!D50)</f>
        <v/>
      </c>
      <c r="E50" s="2">
        <f>IF(Label_Answers!F50="","",Label_Answers!F50)</f>
        <v/>
      </c>
      <c r="F50" s="2">
        <f>IF(Label_Answers!G50="","",Label_Answers!G50)</f>
        <v/>
      </c>
      <c r="G50" s="5" t="n"/>
      <c r="H50" s="2">
        <f>IF(G50&lt;&gt;"",G50,IF(AND(E50&lt;&gt;"",E50=F50,E50&lt;&gt;"unsure"),E50,""))</f>
        <v/>
      </c>
      <c r="I50" s="2">
        <f>IF(AND(OR(E50="met",E50="not_met"),OR(F50="met",F50="not_met")),1,0)</f>
        <v/>
      </c>
      <c r="J50" s="2">
        <f>IF(I50=1,IF(E50=F50,1,0),"")</f>
        <v/>
      </c>
      <c r="K50" s="2" t="n"/>
      <c r="L50" s="2" t="n"/>
      <c r="M50" s="2" t="n"/>
      <c r="N50" s="2">
        <f>IF(OR(K50="",H50=""),"",IF((K50="met")=(H50="met"),1,0))</f>
        <v/>
      </c>
      <c r="O50" s="2">
        <f>IF(OR(L50="",H50=""),"",IF((L50="met")=(H50="met"),1,0))</f>
        <v/>
      </c>
      <c r="P50" s="2">
        <f>IF(OR(M50="",H50=""),"",IF((M50="met")=(H50="met"),1,0))</f>
        <v/>
      </c>
    </row>
    <row r="51">
      <c r="A51" s="2" t="inlineStr">
        <is>
          <t>A07-05</t>
        </is>
      </c>
      <c r="B51" s="2">
        <f>Key!B51</f>
        <v/>
      </c>
      <c r="C51" s="2">
        <f>Key!C51</f>
        <v/>
      </c>
      <c r="D51" s="2">
        <f>IF(Key!D51="","",Key!D51)</f>
        <v/>
      </c>
      <c r="E51" s="2">
        <f>IF(Label_Answers!F51="","",Label_Answers!F51)</f>
        <v/>
      </c>
      <c r="F51" s="2">
        <f>IF(Label_Answers!G51="","",Label_Answers!G51)</f>
        <v/>
      </c>
      <c r="G51" s="5" t="n"/>
      <c r="H51" s="2">
        <f>IF(G51&lt;&gt;"",G51,IF(AND(E51&lt;&gt;"",E51=F51,E51&lt;&gt;"unsure"),E51,""))</f>
        <v/>
      </c>
      <c r="I51" s="2">
        <f>IF(AND(OR(E51="met",E51="not_met"),OR(F51="met",F51="not_met")),1,0)</f>
        <v/>
      </c>
      <c r="J51" s="2">
        <f>IF(I51=1,IF(E51=F51,1,0),"")</f>
        <v/>
      </c>
      <c r="K51" s="2" t="n"/>
      <c r="L51" s="2" t="n"/>
      <c r="M51" s="2" t="n"/>
      <c r="N51" s="2">
        <f>IF(OR(K51="",H51=""),"",IF((K51="met")=(H51="met"),1,0))</f>
        <v/>
      </c>
      <c r="O51" s="2">
        <f>IF(OR(L51="",H51=""),"",IF((L51="met")=(H51="met"),1,0))</f>
        <v/>
      </c>
      <c r="P51" s="2">
        <f>IF(OR(M51="",H51=""),"",IF((M51="met")=(H51="met"),1,0))</f>
        <v/>
      </c>
    </row>
    <row r="52">
      <c r="A52" s="2" t="inlineStr">
        <is>
          <t>A07-06</t>
        </is>
      </c>
      <c r="B52" s="2">
        <f>Key!B52</f>
        <v/>
      </c>
      <c r="C52" s="2">
        <f>Key!C52</f>
        <v/>
      </c>
      <c r="D52" s="2">
        <f>IF(Key!D52="","",Key!D52)</f>
        <v/>
      </c>
      <c r="E52" s="2">
        <f>IF(Label_Answers!F52="","",Label_Answers!F52)</f>
        <v/>
      </c>
      <c r="F52" s="2">
        <f>IF(Label_Answers!G52="","",Label_Answers!G52)</f>
        <v/>
      </c>
      <c r="G52" s="5" t="n"/>
      <c r="H52" s="2">
        <f>IF(G52&lt;&gt;"",G52,IF(AND(E52&lt;&gt;"",E52=F52,E52&lt;&gt;"unsure"),E52,""))</f>
        <v/>
      </c>
      <c r="I52" s="2">
        <f>IF(AND(OR(E52="met",E52="not_met"),OR(F52="met",F52="not_met")),1,0)</f>
        <v/>
      </c>
      <c r="J52" s="2">
        <f>IF(I52=1,IF(E52=F52,1,0),"")</f>
        <v/>
      </c>
      <c r="K52" s="2" t="n"/>
      <c r="L52" s="2" t="n"/>
      <c r="M52" s="2" t="n"/>
      <c r="N52" s="2">
        <f>IF(OR(K52="",H52=""),"",IF((K52="met")=(H52="met"),1,0))</f>
        <v/>
      </c>
      <c r="O52" s="2">
        <f>IF(OR(L52="",H52=""),"",IF((L52="met")=(H52="met"),1,0))</f>
        <v/>
      </c>
      <c r="P52" s="2">
        <f>IF(OR(M52="",H52=""),"",IF((M52="met")=(H52="met"),1,0))</f>
        <v/>
      </c>
    </row>
    <row r="53">
      <c r="A53" s="2" t="inlineStr">
        <is>
          <t>A07-07</t>
        </is>
      </c>
      <c r="B53" s="2">
        <f>Key!B53</f>
        <v/>
      </c>
      <c r="C53" s="2">
        <f>Key!C53</f>
        <v/>
      </c>
      <c r="D53" s="2">
        <f>IF(Key!D53="","",Key!D53)</f>
        <v/>
      </c>
      <c r="E53" s="2">
        <f>IF(Label_Answers!F53="","",Label_Answers!F53)</f>
        <v/>
      </c>
      <c r="F53" s="2">
        <f>IF(Label_Answers!G53="","",Label_Answers!G53)</f>
        <v/>
      </c>
      <c r="G53" s="5" t="n"/>
      <c r="H53" s="2">
        <f>IF(G53&lt;&gt;"",G53,IF(AND(E53&lt;&gt;"",E53=F53,E53&lt;&gt;"unsure"),E53,""))</f>
        <v/>
      </c>
      <c r="I53" s="2">
        <f>IF(AND(OR(E53="met",E53="not_met"),OR(F53="met",F53="not_met")),1,0)</f>
        <v/>
      </c>
      <c r="J53" s="2">
        <f>IF(I53=1,IF(E53=F53,1,0),"")</f>
        <v/>
      </c>
      <c r="K53" s="2" t="n"/>
      <c r="L53" s="2" t="n"/>
      <c r="M53" s="2" t="n"/>
      <c r="N53" s="2">
        <f>IF(OR(K53="",H53=""),"",IF((K53="met")=(H53="met"),1,0))</f>
        <v/>
      </c>
      <c r="O53" s="2">
        <f>IF(OR(L53="",H53=""),"",IF((L53="met")=(H53="met"),1,0))</f>
        <v/>
      </c>
      <c r="P53" s="2">
        <f>IF(OR(M53="",H53=""),"",IF((M53="met")=(H53="met"),1,0))</f>
        <v/>
      </c>
    </row>
    <row r="54">
      <c r="A54" s="2" t="inlineStr">
        <is>
          <t>A07-08</t>
        </is>
      </c>
      <c r="B54" s="2">
        <f>Key!B54</f>
        <v/>
      </c>
      <c r="C54" s="2">
        <f>Key!C54</f>
        <v/>
      </c>
      <c r="D54" s="2">
        <f>IF(Key!D54="","",Key!D54)</f>
        <v/>
      </c>
      <c r="E54" s="2">
        <f>IF(Label_Answers!F54="","",Label_Answers!F54)</f>
        <v/>
      </c>
      <c r="F54" s="2">
        <f>IF(Label_Answers!G54="","",Label_Answers!G54)</f>
        <v/>
      </c>
      <c r="G54" s="5" t="n"/>
      <c r="H54" s="2">
        <f>IF(G54&lt;&gt;"",G54,IF(AND(E54&lt;&gt;"",E54=F54,E54&lt;&gt;"unsure"),E54,""))</f>
        <v/>
      </c>
      <c r="I54" s="2">
        <f>IF(AND(OR(E54="met",E54="not_met"),OR(F54="met",F54="not_met")),1,0)</f>
        <v/>
      </c>
      <c r="J54" s="2">
        <f>IF(I54=1,IF(E54=F54,1,0),"")</f>
        <v/>
      </c>
      <c r="K54" s="2" t="n"/>
      <c r="L54" s="2" t="n"/>
      <c r="M54" s="2" t="n"/>
      <c r="N54" s="2">
        <f>IF(OR(K54="",H54=""),"",IF((K54="met")=(H54="met"),1,0))</f>
        <v/>
      </c>
      <c r="O54" s="2">
        <f>IF(OR(L54="",H54=""),"",IF((L54="met")=(H54="met"),1,0))</f>
        <v/>
      </c>
      <c r="P54" s="2">
        <f>IF(OR(M54="",H54=""),"",IF((M54="met")=(H54="met"),1,0))</f>
        <v/>
      </c>
    </row>
    <row r="55">
      <c r="A55" s="2" t="inlineStr">
        <is>
          <t>A08-01</t>
        </is>
      </c>
      <c r="B55" s="2">
        <f>Key!B55</f>
        <v/>
      </c>
      <c r="C55" s="2">
        <f>Key!C55</f>
        <v/>
      </c>
      <c r="D55" s="2">
        <f>IF(Key!D55="","",Key!D55)</f>
        <v/>
      </c>
      <c r="E55" s="2">
        <f>IF(Label_Answers!F55="","",Label_Answers!F55)</f>
        <v/>
      </c>
      <c r="F55" s="2">
        <f>IF(Label_Answers!G55="","",Label_Answers!G55)</f>
        <v/>
      </c>
      <c r="G55" s="5" t="n"/>
      <c r="H55" s="2">
        <f>IF(G55&lt;&gt;"",G55,IF(AND(E55&lt;&gt;"",E55=F55,E55&lt;&gt;"unsure"),E55,""))</f>
        <v/>
      </c>
      <c r="I55" s="2">
        <f>IF(AND(OR(E55="met",E55="not_met"),OR(F55="met",F55="not_met")),1,0)</f>
        <v/>
      </c>
      <c r="J55" s="2">
        <f>IF(I55=1,IF(E55=F55,1,0),"")</f>
        <v/>
      </c>
      <c r="K55" s="2" t="n"/>
      <c r="L55" s="2" t="n"/>
      <c r="M55" s="2" t="n"/>
      <c r="N55" s="2">
        <f>IF(OR(K55="",H55=""),"",IF((K55="met")=(H55="met"),1,0))</f>
        <v/>
      </c>
      <c r="O55" s="2">
        <f>IF(OR(L55="",H55=""),"",IF((L55="met")=(H55="met"),1,0))</f>
        <v/>
      </c>
      <c r="P55" s="2">
        <f>IF(OR(M55="",H55=""),"",IF((M55="met")=(H55="met"),1,0))</f>
        <v/>
      </c>
    </row>
    <row r="56">
      <c r="A56" s="2" t="inlineStr">
        <is>
          <t>A08-02</t>
        </is>
      </c>
      <c r="B56" s="2">
        <f>Key!B56</f>
        <v/>
      </c>
      <c r="C56" s="2">
        <f>Key!C56</f>
        <v/>
      </c>
      <c r="D56" s="2">
        <f>IF(Key!D56="","",Key!D56)</f>
        <v/>
      </c>
      <c r="E56" s="2">
        <f>IF(Label_Answers!F56="","",Label_Answers!F56)</f>
        <v/>
      </c>
      <c r="F56" s="2">
        <f>IF(Label_Answers!G56="","",Label_Answers!G56)</f>
        <v/>
      </c>
      <c r="G56" s="5" t="n"/>
      <c r="H56" s="2">
        <f>IF(G56&lt;&gt;"",G56,IF(AND(E56&lt;&gt;"",E56=F56,E56&lt;&gt;"unsure"),E56,""))</f>
        <v/>
      </c>
      <c r="I56" s="2">
        <f>IF(AND(OR(E56="met",E56="not_met"),OR(F56="met",F56="not_met")),1,0)</f>
        <v/>
      </c>
      <c r="J56" s="2">
        <f>IF(I56=1,IF(E56=F56,1,0),"")</f>
        <v/>
      </c>
      <c r="K56" s="2" t="n"/>
      <c r="L56" s="2" t="n"/>
      <c r="M56" s="2" t="n"/>
      <c r="N56" s="2">
        <f>IF(OR(K56="",H56=""),"",IF((K56="met")=(H56="met"),1,0))</f>
        <v/>
      </c>
      <c r="O56" s="2">
        <f>IF(OR(L56="",H56=""),"",IF((L56="met")=(H56="met"),1,0))</f>
        <v/>
      </c>
      <c r="P56" s="2">
        <f>IF(OR(M56="",H56=""),"",IF((M56="met")=(H56="met"),1,0))</f>
        <v/>
      </c>
    </row>
    <row r="57">
      <c r="A57" s="2" t="inlineStr">
        <is>
          <t>A08-03</t>
        </is>
      </c>
      <c r="B57" s="2">
        <f>Key!B57</f>
        <v/>
      </c>
      <c r="C57" s="2">
        <f>Key!C57</f>
        <v/>
      </c>
      <c r="D57" s="2">
        <f>IF(Key!D57="","",Key!D57)</f>
        <v/>
      </c>
      <c r="E57" s="2">
        <f>IF(Label_Answers!F57="","",Label_Answers!F57)</f>
        <v/>
      </c>
      <c r="F57" s="2">
        <f>IF(Label_Answers!G57="","",Label_Answers!G57)</f>
        <v/>
      </c>
      <c r="G57" s="5" t="n"/>
      <c r="H57" s="2">
        <f>IF(G57&lt;&gt;"",G57,IF(AND(E57&lt;&gt;"",E57=F57,E57&lt;&gt;"unsure"),E57,""))</f>
        <v/>
      </c>
      <c r="I57" s="2">
        <f>IF(AND(OR(E57="met",E57="not_met"),OR(F57="met",F57="not_met")),1,0)</f>
        <v/>
      </c>
      <c r="J57" s="2">
        <f>IF(I57=1,IF(E57=F57,1,0),"")</f>
        <v/>
      </c>
      <c r="K57" s="2" t="n"/>
      <c r="L57" s="2" t="n"/>
      <c r="M57" s="2" t="n"/>
      <c r="N57" s="2">
        <f>IF(OR(K57="",H57=""),"",IF((K57="met")=(H57="met"),1,0))</f>
        <v/>
      </c>
      <c r="O57" s="2">
        <f>IF(OR(L57="",H57=""),"",IF((L57="met")=(H57="met"),1,0))</f>
        <v/>
      </c>
      <c r="P57" s="2">
        <f>IF(OR(M57="",H57=""),"",IF((M57="met")=(H57="met"),1,0))</f>
        <v/>
      </c>
    </row>
    <row r="58">
      <c r="A58" s="2" t="inlineStr">
        <is>
          <t>A08-04</t>
        </is>
      </c>
      <c r="B58" s="2">
        <f>Key!B58</f>
        <v/>
      </c>
      <c r="C58" s="2">
        <f>Key!C58</f>
        <v/>
      </c>
      <c r="D58" s="2">
        <f>IF(Key!D58="","",Key!D58)</f>
        <v/>
      </c>
      <c r="E58" s="2">
        <f>IF(Label_Answers!F58="","",Label_Answers!F58)</f>
        <v/>
      </c>
      <c r="F58" s="2">
        <f>IF(Label_Answers!G58="","",Label_Answers!G58)</f>
        <v/>
      </c>
      <c r="G58" s="5" t="n"/>
      <c r="H58" s="2">
        <f>IF(G58&lt;&gt;"",G58,IF(AND(E58&lt;&gt;"",E58=F58,E58&lt;&gt;"unsure"),E58,""))</f>
        <v/>
      </c>
      <c r="I58" s="2">
        <f>IF(AND(OR(E58="met",E58="not_met"),OR(F58="met",F58="not_met")),1,0)</f>
        <v/>
      </c>
      <c r="J58" s="2">
        <f>IF(I58=1,IF(E58=F58,1,0),"")</f>
        <v/>
      </c>
      <c r="K58" s="2" t="n"/>
      <c r="L58" s="2" t="n"/>
      <c r="M58" s="2" t="n"/>
      <c r="N58" s="2">
        <f>IF(OR(K58="",H58=""),"",IF((K58="met")=(H58="met"),1,0))</f>
        <v/>
      </c>
      <c r="O58" s="2">
        <f>IF(OR(L58="",H58=""),"",IF((L58="met")=(H58="met"),1,0))</f>
        <v/>
      </c>
      <c r="P58" s="2">
        <f>IF(OR(M58="",H58=""),"",IF((M58="met")=(H58="met"),1,0))</f>
        <v/>
      </c>
    </row>
    <row r="59">
      <c r="A59" s="2" t="inlineStr">
        <is>
          <t>A08-05</t>
        </is>
      </c>
      <c r="B59" s="2">
        <f>Key!B59</f>
        <v/>
      </c>
      <c r="C59" s="2">
        <f>Key!C59</f>
        <v/>
      </c>
      <c r="D59" s="2">
        <f>IF(Key!D59="","",Key!D59)</f>
        <v/>
      </c>
      <c r="E59" s="2">
        <f>IF(Label_Answers!F59="","",Label_Answers!F59)</f>
        <v/>
      </c>
      <c r="F59" s="2">
        <f>IF(Label_Answers!G59="","",Label_Answers!G59)</f>
        <v/>
      </c>
      <c r="G59" s="5" t="n"/>
      <c r="H59" s="2">
        <f>IF(G59&lt;&gt;"",G59,IF(AND(E59&lt;&gt;"",E59=F59,E59&lt;&gt;"unsure"),E59,""))</f>
        <v/>
      </c>
      <c r="I59" s="2">
        <f>IF(AND(OR(E59="met",E59="not_met"),OR(F59="met",F59="not_met")),1,0)</f>
        <v/>
      </c>
      <c r="J59" s="2">
        <f>IF(I59=1,IF(E59=F59,1,0),"")</f>
        <v/>
      </c>
      <c r="K59" s="2" t="n"/>
      <c r="L59" s="2" t="n"/>
      <c r="M59" s="2" t="n"/>
      <c r="N59" s="2">
        <f>IF(OR(K59="",H59=""),"",IF((K59="met")=(H59="met"),1,0))</f>
        <v/>
      </c>
      <c r="O59" s="2">
        <f>IF(OR(L59="",H59=""),"",IF((L59="met")=(H59="met"),1,0))</f>
        <v/>
      </c>
      <c r="P59" s="2">
        <f>IF(OR(M59="",H59=""),"",IF((M59="met")=(H59="met"),1,0))</f>
        <v/>
      </c>
    </row>
    <row r="60">
      <c r="A60" s="2" t="inlineStr">
        <is>
          <t>A08-06</t>
        </is>
      </c>
      <c r="B60" s="2">
        <f>Key!B60</f>
        <v/>
      </c>
      <c r="C60" s="2">
        <f>Key!C60</f>
        <v/>
      </c>
      <c r="D60" s="2">
        <f>IF(Key!D60="","",Key!D60)</f>
        <v/>
      </c>
      <c r="E60" s="2">
        <f>IF(Label_Answers!F60="","",Label_Answers!F60)</f>
        <v/>
      </c>
      <c r="F60" s="2">
        <f>IF(Label_Answers!G60="","",Label_Answers!G60)</f>
        <v/>
      </c>
      <c r="G60" s="5" t="n"/>
      <c r="H60" s="2">
        <f>IF(G60&lt;&gt;"",G60,IF(AND(E60&lt;&gt;"",E60=F60,E60&lt;&gt;"unsure"),E60,""))</f>
        <v/>
      </c>
      <c r="I60" s="2">
        <f>IF(AND(OR(E60="met",E60="not_met"),OR(F60="met",F60="not_met")),1,0)</f>
        <v/>
      </c>
      <c r="J60" s="2">
        <f>IF(I60=1,IF(E60=F60,1,0),"")</f>
        <v/>
      </c>
      <c r="K60" s="2" t="n"/>
      <c r="L60" s="2" t="n"/>
      <c r="M60" s="2" t="n"/>
      <c r="N60" s="2">
        <f>IF(OR(K60="",H60=""),"",IF((K60="met")=(H60="met"),1,0))</f>
        <v/>
      </c>
      <c r="O60" s="2">
        <f>IF(OR(L60="",H60=""),"",IF((L60="met")=(H60="met"),1,0))</f>
        <v/>
      </c>
      <c r="P60" s="2">
        <f>IF(OR(M60="",H60=""),"",IF((M60="met")=(H60="met"),1,0))</f>
        <v/>
      </c>
    </row>
    <row r="61">
      <c r="A61" s="2" t="inlineStr">
        <is>
          <t>A08-07</t>
        </is>
      </c>
      <c r="B61" s="2">
        <f>Key!B61</f>
        <v/>
      </c>
      <c r="C61" s="2">
        <f>Key!C61</f>
        <v/>
      </c>
      <c r="D61" s="2">
        <f>IF(Key!D61="","",Key!D61)</f>
        <v/>
      </c>
      <c r="E61" s="2">
        <f>IF(Label_Answers!F61="","",Label_Answers!F61)</f>
        <v/>
      </c>
      <c r="F61" s="2">
        <f>IF(Label_Answers!G61="","",Label_Answers!G61)</f>
        <v/>
      </c>
      <c r="G61" s="5" t="n"/>
      <c r="H61" s="2">
        <f>IF(G61&lt;&gt;"",G61,IF(AND(E61&lt;&gt;"",E61=F61,E61&lt;&gt;"unsure"),E61,""))</f>
        <v/>
      </c>
      <c r="I61" s="2">
        <f>IF(AND(OR(E61="met",E61="not_met"),OR(F61="met",F61="not_met")),1,0)</f>
        <v/>
      </c>
      <c r="J61" s="2">
        <f>IF(I61=1,IF(E61=F61,1,0),"")</f>
        <v/>
      </c>
      <c r="K61" s="2" t="n"/>
      <c r="L61" s="2" t="n"/>
      <c r="M61" s="2" t="n"/>
      <c r="N61" s="2">
        <f>IF(OR(K61="",H61=""),"",IF((K61="met")=(H61="met"),1,0))</f>
        <v/>
      </c>
      <c r="O61" s="2">
        <f>IF(OR(L61="",H61=""),"",IF((L61="met")=(H61="met"),1,0))</f>
        <v/>
      </c>
      <c r="P61" s="2">
        <f>IF(OR(M61="",H61=""),"",IF((M61="met")=(H61="met"),1,0))</f>
        <v/>
      </c>
    </row>
    <row r="62">
      <c r="A62" s="2" t="inlineStr">
        <is>
          <t>A09-01</t>
        </is>
      </c>
      <c r="B62" s="2">
        <f>Key!B62</f>
        <v/>
      </c>
      <c r="C62" s="2">
        <f>Key!C62</f>
        <v/>
      </c>
      <c r="D62" s="2">
        <f>IF(Key!D62="","",Key!D62)</f>
        <v/>
      </c>
      <c r="E62" s="2">
        <f>IF(Label_Answers!F62="","",Label_Answers!F62)</f>
        <v/>
      </c>
      <c r="F62" s="2">
        <f>IF(Label_Answers!G62="","",Label_Answers!G62)</f>
        <v/>
      </c>
      <c r="G62" s="5" t="n"/>
      <c r="H62" s="2">
        <f>IF(G62&lt;&gt;"",G62,IF(AND(E62&lt;&gt;"",E62=F62,E62&lt;&gt;"unsure"),E62,""))</f>
        <v/>
      </c>
      <c r="I62" s="2">
        <f>IF(AND(OR(E62="met",E62="not_met"),OR(F62="met",F62="not_met")),1,0)</f>
        <v/>
      </c>
      <c r="J62" s="2">
        <f>IF(I62=1,IF(E62=F62,1,0),"")</f>
        <v/>
      </c>
      <c r="K62" s="2" t="n"/>
      <c r="L62" s="2" t="n"/>
      <c r="M62" s="2" t="n"/>
      <c r="N62" s="2">
        <f>IF(OR(K62="",H62=""),"",IF((K62="met")=(H62="met"),1,0))</f>
        <v/>
      </c>
      <c r="O62" s="2">
        <f>IF(OR(L62="",H62=""),"",IF((L62="met")=(H62="met"),1,0))</f>
        <v/>
      </c>
      <c r="P62" s="2">
        <f>IF(OR(M62="",H62=""),"",IF((M62="met")=(H62="met"),1,0))</f>
        <v/>
      </c>
    </row>
    <row r="63">
      <c r="A63" s="2" t="inlineStr">
        <is>
          <t>A09-02</t>
        </is>
      </c>
      <c r="B63" s="2">
        <f>Key!B63</f>
        <v/>
      </c>
      <c r="C63" s="2">
        <f>Key!C63</f>
        <v/>
      </c>
      <c r="D63" s="2">
        <f>IF(Key!D63="","",Key!D63)</f>
        <v/>
      </c>
      <c r="E63" s="2">
        <f>IF(Label_Answers!F63="","",Label_Answers!F63)</f>
        <v/>
      </c>
      <c r="F63" s="2">
        <f>IF(Label_Answers!G63="","",Label_Answers!G63)</f>
        <v/>
      </c>
      <c r="G63" s="5" t="n"/>
      <c r="H63" s="2">
        <f>IF(G63&lt;&gt;"",G63,IF(AND(E63&lt;&gt;"",E63=F63,E63&lt;&gt;"unsure"),E63,""))</f>
        <v/>
      </c>
      <c r="I63" s="2">
        <f>IF(AND(OR(E63="met",E63="not_met"),OR(F63="met",F63="not_met")),1,0)</f>
        <v/>
      </c>
      <c r="J63" s="2">
        <f>IF(I63=1,IF(E63=F63,1,0),"")</f>
        <v/>
      </c>
      <c r="K63" s="2" t="n"/>
      <c r="L63" s="2" t="n"/>
      <c r="M63" s="2" t="n"/>
      <c r="N63" s="2">
        <f>IF(OR(K63="",H63=""),"",IF((K63="met")=(H63="met"),1,0))</f>
        <v/>
      </c>
      <c r="O63" s="2">
        <f>IF(OR(L63="",H63=""),"",IF((L63="met")=(H63="met"),1,0))</f>
        <v/>
      </c>
      <c r="P63" s="2">
        <f>IF(OR(M63="",H63=""),"",IF((M63="met")=(H63="met"),1,0))</f>
        <v/>
      </c>
    </row>
    <row r="64">
      <c r="A64" s="2" t="inlineStr">
        <is>
          <t>A09-03</t>
        </is>
      </c>
      <c r="B64" s="2">
        <f>Key!B64</f>
        <v/>
      </c>
      <c r="C64" s="2">
        <f>Key!C64</f>
        <v/>
      </c>
      <c r="D64" s="2">
        <f>IF(Key!D64="","",Key!D64)</f>
        <v/>
      </c>
      <c r="E64" s="2">
        <f>IF(Label_Answers!F64="","",Label_Answers!F64)</f>
        <v/>
      </c>
      <c r="F64" s="2">
        <f>IF(Label_Answers!G64="","",Label_Answers!G64)</f>
        <v/>
      </c>
      <c r="G64" s="5" t="n"/>
      <c r="H64" s="2">
        <f>IF(G64&lt;&gt;"",G64,IF(AND(E64&lt;&gt;"",E64=F64,E64&lt;&gt;"unsure"),E64,""))</f>
        <v/>
      </c>
      <c r="I64" s="2">
        <f>IF(AND(OR(E64="met",E64="not_met"),OR(F64="met",F64="not_met")),1,0)</f>
        <v/>
      </c>
      <c r="J64" s="2">
        <f>IF(I64=1,IF(E64=F64,1,0),"")</f>
        <v/>
      </c>
      <c r="K64" s="2" t="n"/>
      <c r="L64" s="2" t="n"/>
      <c r="M64" s="2" t="n"/>
      <c r="N64" s="2">
        <f>IF(OR(K64="",H64=""),"",IF((K64="met")=(H64="met"),1,0))</f>
        <v/>
      </c>
      <c r="O64" s="2">
        <f>IF(OR(L64="",H64=""),"",IF((L64="met")=(H64="met"),1,0))</f>
        <v/>
      </c>
      <c r="P64" s="2">
        <f>IF(OR(M64="",H64=""),"",IF((M64="met")=(H64="met"),1,0))</f>
        <v/>
      </c>
    </row>
    <row r="65">
      <c r="A65" s="2" t="inlineStr">
        <is>
          <t>A09-04</t>
        </is>
      </c>
      <c r="B65" s="2">
        <f>Key!B65</f>
        <v/>
      </c>
      <c r="C65" s="2">
        <f>Key!C65</f>
        <v/>
      </c>
      <c r="D65" s="2">
        <f>IF(Key!D65="","",Key!D65)</f>
        <v/>
      </c>
      <c r="E65" s="2">
        <f>IF(Label_Answers!F65="","",Label_Answers!F65)</f>
        <v/>
      </c>
      <c r="F65" s="2">
        <f>IF(Label_Answers!G65="","",Label_Answers!G65)</f>
        <v/>
      </c>
      <c r="G65" s="5" t="n"/>
      <c r="H65" s="2">
        <f>IF(G65&lt;&gt;"",G65,IF(AND(E65&lt;&gt;"",E65=F65,E65&lt;&gt;"unsure"),E65,""))</f>
        <v/>
      </c>
      <c r="I65" s="2">
        <f>IF(AND(OR(E65="met",E65="not_met"),OR(F65="met",F65="not_met")),1,0)</f>
        <v/>
      </c>
      <c r="J65" s="2">
        <f>IF(I65=1,IF(E65=F65,1,0),"")</f>
        <v/>
      </c>
      <c r="K65" s="2" t="n"/>
      <c r="L65" s="2" t="n"/>
      <c r="M65" s="2" t="n"/>
      <c r="N65" s="2">
        <f>IF(OR(K65="",H65=""),"",IF((K65="met")=(H65="met"),1,0))</f>
        <v/>
      </c>
      <c r="O65" s="2">
        <f>IF(OR(L65="",H65=""),"",IF((L65="met")=(H65="met"),1,0))</f>
        <v/>
      </c>
      <c r="P65" s="2">
        <f>IF(OR(M65="",H65=""),"",IF((M65="met")=(H65="met"),1,0))</f>
        <v/>
      </c>
    </row>
    <row r="66">
      <c r="A66" s="2" t="inlineStr">
        <is>
          <t>A09-05</t>
        </is>
      </c>
      <c r="B66" s="2">
        <f>Key!B66</f>
        <v/>
      </c>
      <c r="C66" s="2">
        <f>Key!C66</f>
        <v/>
      </c>
      <c r="D66" s="2">
        <f>IF(Key!D66="","",Key!D66)</f>
        <v/>
      </c>
      <c r="E66" s="2">
        <f>IF(Label_Answers!F66="","",Label_Answers!F66)</f>
        <v/>
      </c>
      <c r="F66" s="2">
        <f>IF(Label_Answers!G66="","",Label_Answers!G66)</f>
        <v/>
      </c>
      <c r="G66" s="5" t="n"/>
      <c r="H66" s="2">
        <f>IF(G66&lt;&gt;"",G66,IF(AND(E66&lt;&gt;"",E66=F66,E66&lt;&gt;"unsure"),E66,""))</f>
        <v/>
      </c>
      <c r="I66" s="2">
        <f>IF(AND(OR(E66="met",E66="not_met"),OR(F66="met",F66="not_met")),1,0)</f>
        <v/>
      </c>
      <c r="J66" s="2">
        <f>IF(I66=1,IF(E66=F66,1,0),"")</f>
        <v/>
      </c>
      <c r="K66" s="2" t="n"/>
      <c r="L66" s="2" t="n"/>
      <c r="M66" s="2" t="n"/>
      <c r="N66" s="2">
        <f>IF(OR(K66="",H66=""),"",IF((K66="met")=(H66="met"),1,0))</f>
        <v/>
      </c>
      <c r="O66" s="2">
        <f>IF(OR(L66="",H66=""),"",IF((L66="met")=(H66="met"),1,0))</f>
        <v/>
      </c>
      <c r="P66" s="2">
        <f>IF(OR(M66="",H66=""),"",IF((M66="met")=(H66="met"),1,0))</f>
        <v/>
      </c>
    </row>
    <row r="67">
      <c r="A67" s="2" t="inlineStr">
        <is>
          <t>A09-06</t>
        </is>
      </c>
      <c r="B67" s="2">
        <f>Key!B67</f>
        <v/>
      </c>
      <c r="C67" s="2">
        <f>Key!C67</f>
        <v/>
      </c>
      <c r="D67" s="2">
        <f>IF(Key!D67="","",Key!D67)</f>
        <v/>
      </c>
      <c r="E67" s="2">
        <f>IF(Label_Answers!F67="","",Label_Answers!F67)</f>
        <v/>
      </c>
      <c r="F67" s="2">
        <f>IF(Label_Answers!G67="","",Label_Answers!G67)</f>
        <v/>
      </c>
      <c r="G67" s="5" t="n"/>
      <c r="H67" s="2">
        <f>IF(G67&lt;&gt;"",G67,IF(AND(E67&lt;&gt;"",E67=F67,E67&lt;&gt;"unsure"),E67,""))</f>
        <v/>
      </c>
      <c r="I67" s="2">
        <f>IF(AND(OR(E67="met",E67="not_met"),OR(F67="met",F67="not_met")),1,0)</f>
        <v/>
      </c>
      <c r="J67" s="2">
        <f>IF(I67=1,IF(E67=F67,1,0),"")</f>
        <v/>
      </c>
      <c r="K67" s="2" t="n"/>
      <c r="L67" s="2" t="n"/>
      <c r="M67" s="2" t="n"/>
      <c r="N67" s="2">
        <f>IF(OR(K67="",H67=""),"",IF((K67="met")=(H67="met"),1,0))</f>
        <v/>
      </c>
      <c r="O67" s="2">
        <f>IF(OR(L67="",H67=""),"",IF((L67="met")=(H67="met"),1,0))</f>
        <v/>
      </c>
      <c r="P67" s="2">
        <f>IF(OR(M67="",H67=""),"",IF((M67="met")=(H67="met"),1,0))</f>
        <v/>
      </c>
    </row>
    <row r="68">
      <c r="A68" s="2" t="inlineStr">
        <is>
          <t>A09-07</t>
        </is>
      </c>
      <c r="B68" s="2">
        <f>Key!B68</f>
        <v/>
      </c>
      <c r="C68" s="2">
        <f>Key!C68</f>
        <v/>
      </c>
      <c r="D68" s="2">
        <f>IF(Key!D68="","",Key!D68)</f>
        <v/>
      </c>
      <c r="E68" s="2">
        <f>IF(Label_Answers!F68="","",Label_Answers!F68)</f>
        <v/>
      </c>
      <c r="F68" s="2">
        <f>IF(Label_Answers!G68="","",Label_Answers!G68)</f>
        <v/>
      </c>
      <c r="G68" s="5" t="n"/>
      <c r="H68" s="2">
        <f>IF(G68&lt;&gt;"",G68,IF(AND(E68&lt;&gt;"",E68=F68,E68&lt;&gt;"unsure"),E68,""))</f>
        <v/>
      </c>
      <c r="I68" s="2">
        <f>IF(AND(OR(E68="met",E68="not_met"),OR(F68="met",F68="not_met")),1,0)</f>
        <v/>
      </c>
      <c r="J68" s="2">
        <f>IF(I68=1,IF(E68=F68,1,0),"")</f>
        <v/>
      </c>
      <c r="K68" s="2" t="n"/>
      <c r="L68" s="2" t="n"/>
      <c r="M68" s="2" t="n"/>
      <c r="N68" s="2">
        <f>IF(OR(K68="",H68=""),"",IF((K68="met")=(H68="met"),1,0))</f>
        <v/>
      </c>
      <c r="O68" s="2">
        <f>IF(OR(L68="",H68=""),"",IF((L68="met")=(H68="met"),1,0))</f>
        <v/>
      </c>
      <c r="P68" s="2">
        <f>IF(OR(M68="",H68=""),"",IF((M68="met")=(H68="met"),1,0))</f>
        <v/>
      </c>
    </row>
    <row r="69">
      <c r="A69" s="2" t="inlineStr">
        <is>
          <t>A10-01</t>
        </is>
      </c>
      <c r="B69" s="2">
        <f>Key!B69</f>
        <v/>
      </c>
      <c r="C69" s="2">
        <f>Key!C69</f>
        <v/>
      </c>
      <c r="D69" s="2">
        <f>IF(Key!D69="","",Key!D69)</f>
        <v/>
      </c>
      <c r="E69" s="2">
        <f>IF(Label_Answers!F69="","",Label_Answers!F69)</f>
        <v/>
      </c>
      <c r="F69" s="2">
        <f>IF(Label_Answers!G69="","",Label_Answers!G69)</f>
        <v/>
      </c>
      <c r="G69" s="5" t="n"/>
      <c r="H69" s="2">
        <f>IF(G69&lt;&gt;"",G69,IF(AND(E69&lt;&gt;"",E69=F69,E69&lt;&gt;"unsure"),E69,""))</f>
        <v/>
      </c>
      <c r="I69" s="2">
        <f>IF(AND(OR(E69="met",E69="not_met"),OR(F69="met",F69="not_met")),1,0)</f>
        <v/>
      </c>
      <c r="J69" s="2">
        <f>IF(I69=1,IF(E69=F69,1,0),"")</f>
        <v/>
      </c>
      <c r="K69" s="2" t="n"/>
      <c r="L69" s="2" t="n"/>
      <c r="M69" s="2" t="n"/>
      <c r="N69" s="2">
        <f>IF(OR(K69="",H69=""),"",IF((K69="met")=(H69="met"),1,0))</f>
        <v/>
      </c>
      <c r="O69" s="2">
        <f>IF(OR(L69="",H69=""),"",IF((L69="met")=(H69="met"),1,0))</f>
        <v/>
      </c>
      <c r="P69" s="2">
        <f>IF(OR(M69="",H69=""),"",IF((M69="met")=(H69="met"),1,0))</f>
        <v/>
      </c>
    </row>
    <row r="70">
      <c r="A70" s="2" t="inlineStr">
        <is>
          <t>A10-02</t>
        </is>
      </c>
      <c r="B70" s="2">
        <f>Key!B70</f>
        <v/>
      </c>
      <c r="C70" s="2">
        <f>Key!C70</f>
        <v/>
      </c>
      <c r="D70" s="2">
        <f>IF(Key!D70="","",Key!D70)</f>
        <v/>
      </c>
      <c r="E70" s="2">
        <f>IF(Label_Answers!F70="","",Label_Answers!F70)</f>
        <v/>
      </c>
      <c r="F70" s="2">
        <f>IF(Label_Answers!G70="","",Label_Answers!G70)</f>
        <v/>
      </c>
      <c r="G70" s="5" t="n"/>
      <c r="H70" s="2">
        <f>IF(G70&lt;&gt;"",G70,IF(AND(E70&lt;&gt;"",E70=F70,E70&lt;&gt;"unsure"),E70,""))</f>
        <v/>
      </c>
      <c r="I70" s="2">
        <f>IF(AND(OR(E70="met",E70="not_met"),OR(F70="met",F70="not_met")),1,0)</f>
        <v/>
      </c>
      <c r="J70" s="2">
        <f>IF(I70=1,IF(E70=F70,1,0),"")</f>
        <v/>
      </c>
      <c r="K70" s="2" t="n"/>
      <c r="L70" s="2" t="n"/>
      <c r="M70" s="2" t="n"/>
      <c r="N70" s="2">
        <f>IF(OR(K70="",H70=""),"",IF((K70="met")=(H70="met"),1,0))</f>
        <v/>
      </c>
      <c r="O70" s="2">
        <f>IF(OR(L70="",H70=""),"",IF((L70="met")=(H70="met"),1,0))</f>
        <v/>
      </c>
      <c r="P70" s="2">
        <f>IF(OR(M70="",H70=""),"",IF((M70="met")=(H70="met"),1,0))</f>
        <v/>
      </c>
    </row>
    <row r="71">
      <c r="A71" s="2" t="inlineStr">
        <is>
          <t>A10-03</t>
        </is>
      </c>
      <c r="B71" s="2">
        <f>Key!B71</f>
        <v/>
      </c>
      <c r="C71" s="2">
        <f>Key!C71</f>
        <v/>
      </c>
      <c r="D71" s="2">
        <f>IF(Key!D71="","",Key!D71)</f>
        <v/>
      </c>
      <c r="E71" s="2">
        <f>IF(Label_Answers!F71="","",Label_Answers!F71)</f>
        <v/>
      </c>
      <c r="F71" s="2">
        <f>IF(Label_Answers!G71="","",Label_Answers!G71)</f>
        <v/>
      </c>
      <c r="G71" s="5" t="n"/>
      <c r="H71" s="2">
        <f>IF(G71&lt;&gt;"",G71,IF(AND(E71&lt;&gt;"",E71=F71,E71&lt;&gt;"unsure"),E71,""))</f>
        <v/>
      </c>
      <c r="I71" s="2">
        <f>IF(AND(OR(E71="met",E71="not_met"),OR(F71="met",F71="not_met")),1,0)</f>
        <v/>
      </c>
      <c r="J71" s="2">
        <f>IF(I71=1,IF(E71=F71,1,0),"")</f>
        <v/>
      </c>
      <c r="K71" s="2" t="n"/>
      <c r="L71" s="2" t="n"/>
      <c r="M71" s="2" t="n"/>
      <c r="N71" s="2">
        <f>IF(OR(K71="",H71=""),"",IF((K71="met")=(H71="met"),1,0))</f>
        <v/>
      </c>
      <c r="O71" s="2">
        <f>IF(OR(L71="",H71=""),"",IF((L71="met")=(H71="met"),1,0))</f>
        <v/>
      </c>
      <c r="P71" s="2">
        <f>IF(OR(M71="",H71=""),"",IF((M71="met")=(H71="met"),1,0))</f>
        <v/>
      </c>
    </row>
    <row r="72">
      <c r="A72" s="2" t="inlineStr">
        <is>
          <t>A10-04</t>
        </is>
      </c>
      <c r="B72" s="2">
        <f>Key!B72</f>
        <v/>
      </c>
      <c r="C72" s="2">
        <f>Key!C72</f>
        <v/>
      </c>
      <c r="D72" s="2">
        <f>IF(Key!D72="","",Key!D72)</f>
        <v/>
      </c>
      <c r="E72" s="2">
        <f>IF(Label_Answers!F72="","",Label_Answers!F72)</f>
        <v/>
      </c>
      <c r="F72" s="2">
        <f>IF(Label_Answers!G72="","",Label_Answers!G72)</f>
        <v/>
      </c>
      <c r="G72" s="5" t="n"/>
      <c r="H72" s="2">
        <f>IF(G72&lt;&gt;"",G72,IF(AND(E72&lt;&gt;"",E72=F72,E72&lt;&gt;"unsure"),E72,""))</f>
        <v/>
      </c>
      <c r="I72" s="2">
        <f>IF(AND(OR(E72="met",E72="not_met"),OR(F72="met",F72="not_met")),1,0)</f>
        <v/>
      </c>
      <c r="J72" s="2">
        <f>IF(I72=1,IF(E72=F72,1,0),"")</f>
        <v/>
      </c>
      <c r="K72" s="2" t="n"/>
      <c r="L72" s="2" t="n"/>
      <c r="M72" s="2" t="n"/>
      <c r="N72" s="2">
        <f>IF(OR(K72="",H72=""),"",IF((K72="met")=(H72="met"),1,0))</f>
        <v/>
      </c>
      <c r="O72" s="2">
        <f>IF(OR(L72="",H72=""),"",IF((L72="met")=(H72="met"),1,0))</f>
        <v/>
      </c>
      <c r="P72" s="2">
        <f>IF(OR(M72="",H72=""),"",IF((M72="met")=(H72="met"),1,0))</f>
        <v/>
      </c>
    </row>
    <row r="73">
      <c r="A73" s="2" t="inlineStr">
        <is>
          <t>A10-05</t>
        </is>
      </c>
      <c r="B73" s="2">
        <f>Key!B73</f>
        <v/>
      </c>
      <c r="C73" s="2">
        <f>Key!C73</f>
        <v/>
      </c>
      <c r="D73" s="2">
        <f>IF(Key!D73="","",Key!D73)</f>
        <v/>
      </c>
      <c r="E73" s="2">
        <f>IF(Label_Answers!F73="","",Label_Answers!F73)</f>
        <v/>
      </c>
      <c r="F73" s="2">
        <f>IF(Label_Answers!G73="","",Label_Answers!G73)</f>
        <v/>
      </c>
      <c r="G73" s="5" t="n"/>
      <c r="H73" s="2">
        <f>IF(G73&lt;&gt;"",G73,IF(AND(E73&lt;&gt;"",E73=F73,E73&lt;&gt;"unsure"),E73,""))</f>
        <v/>
      </c>
      <c r="I73" s="2">
        <f>IF(AND(OR(E73="met",E73="not_met"),OR(F73="met",F73="not_met")),1,0)</f>
        <v/>
      </c>
      <c r="J73" s="2">
        <f>IF(I73=1,IF(E73=F73,1,0),"")</f>
        <v/>
      </c>
      <c r="K73" s="2" t="n"/>
      <c r="L73" s="2" t="n"/>
      <c r="M73" s="2" t="n"/>
      <c r="N73" s="2">
        <f>IF(OR(K73="",H73=""),"",IF((K73="met")=(H73="met"),1,0))</f>
        <v/>
      </c>
      <c r="O73" s="2">
        <f>IF(OR(L73="",H73=""),"",IF((L73="met")=(H73="met"),1,0))</f>
        <v/>
      </c>
      <c r="P73" s="2">
        <f>IF(OR(M73="",H73=""),"",IF((M73="met")=(H73="met"),1,0))</f>
        <v/>
      </c>
    </row>
    <row r="74">
      <c r="A74" s="2" t="inlineStr">
        <is>
          <t>A10-06</t>
        </is>
      </c>
      <c r="B74" s="2">
        <f>Key!B74</f>
        <v/>
      </c>
      <c r="C74" s="2">
        <f>Key!C74</f>
        <v/>
      </c>
      <c r="D74" s="2">
        <f>IF(Key!D74="","",Key!D74)</f>
        <v/>
      </c>
      <c r="E74" s="2">
        <f>IF(Label_Answers!F74="","",Label_Answers!F74)</f>
        <v/>
      </c>
      <c r="F74" s="2">
        <f>IF(Label_Answers!G74="","",Label_Answers!G74)</f>
        <v/>
      </c>
      <c r="G74" s="5" t="n"/>
      <c r="H74" s="2">
        <f>IF(G74&lt;&gt;"",G74,IF(AND(E74&lt;&gt;"",E74=F74,E74&lt;&gt;"unsure"),E74,""))</f>
        <v/>
      </c>
      <c r="I74" s="2">
        <f>IF(AND(OR(E74="met",E74="not_met"),OR(F74="met",F74="not_met")),1,0)</f>
        <v/>
      </c>
      <c r="J74" s="2">
        <f>IF(I74=1,IF(E74=F74,1,0),"")</f>
        <v/>
      </c>
      <c r="K74" s="2" t="n"/>
      <c r="L74" s="2" t="n"/>
      <c r="M74" s="2" t="n"/>
      <c r="N74" s="2">
        <f>IF(OR(K74="",H74=""),"",IF((K74="met")=(H74="met"),1,0))</f>
        <v/>
      </c>
      <c r="O74" s="2">
        <f>IF(OR(L74="",H74=""),"",IF((L74="met")=(H74="met"),1,0))</f>
        <v/>
      </c>
      <c r="P74" s="2">
        <f>IF(OR(M74="",H74=""),"",IF((M74="met")=(H74="met"),1,0))</f>
        <v/>
      </c>
    </row>
    <row r="75">
      <c r="A75" s="2" t="inlineStr">
        <is>
          <t>A10-07</t>
        </is>
      </c>
      <c r="B75" s="2">
        <f>Key!B75</f>
        <v/>
      </c>
      <c r="C75" s="2">
        <f>Key!C75</f>
        <v/>
      </c>
      <c r="D75" s="2">
        <f>IF(Key!D75="","",Key!D75)</f>
        <v/>
      </c>
      <c r="E75" s="2">
        <f>IF(Label_Answers!F75="","",Label_Answers!F75)</f>
        <v/>
      </c>
      <c r="F75" s="2">
        <f>IF(Label_Answers!G75="","",Label_Answers!G75)</f>
        <v/>
      </c>
      <c r="G75" s="5" t="n"/>
      <c r="H75" s="2">
        <f>IF(G75&lt;&gt;"",G75,IF(AND(E75&lt;&gt;"",E75=F75,E75&lt;&gt;"unsure"),E75,""))</f>
        <v/>
      </c>
      <c r="I75" s="2">
        <f>IF(AND(OR(E75="met",E75="not_met"),OR(F75="met",F75="not_met")),1,0)</f>
        <v/>
      </c>
      <c r="J75" s="2">
        <f>IF(I75=1,IF(E75=F75,1,0),"")</f>
        <v/>
      </c>
      <c r="K75" s="2" t="n"/>
      <c r="L75" s="2" t="n"/>
      <c r="M75" s="2" t="n"/>
      <c r="N75" s="2">
        <f>IF(OR(K75="",H75=""),"",IF((K75="met")=(H75="met"),1,0))</f>
        <v/>
      </c>
      <c r="O75" s="2">
        <f>IF(OR(L75="",H75=""),"",IF((L75="met")=(H75="met"),1,0))</f>
        <v/>
      </c>
      <c r="P75" s="2">
        <f>IF(OR(M75="",H75=""),"",IF((M75="met")=(H75="met"),1,0))</f>
        <v/>
      </c>
    </row>
    <row r="76">
      <c r="A76" s="2" t="inlineStr">
        <is>
          <t>A10-08</t>
        </is>
      </c>
      <c r="B76" s="2">
        <f>Key!B76</f>
        <v/>
      </c>
      <c r="C76" s="2">
        <f>Key!C76</f>
        <v/>
      </c>
      <c r="D76" s="2">
        <f>IF(Key!D76="","",Key!D76)</f>
        <v/>
      </c>
      <c r="E76" s="2">
        <f>IF(Label_Answers!F76="","",Label_Answers!F76)</f>
        <v/>
      </c>
      <c r="F76" s="2">
        <f>IF(Label_Answers!G76="","",Label_Answers!G76)</f>
        <v/>
      </c>
      <c r="G76" s="5" t="n"/>
      <c r="H76" s="2">
        <f>IF(G76&lt;&gt;"",G76,IF(AND(E76&lt;&gt;"",E76=F76,E76&lt;&gt;"unsure"),E76,""))</f>
        <v/>
      </c>
      <c r="I76" s="2">
        <f>IF(AND(OR(E76="met",E76="not_met"),OR(F76="met",F76="not_met")),1,0)</f>
        <v/>
      </c>
      <c r="J76" s="2">
        <f>IF(I76=1,IF(E76=F76,1,0),"")</f>
        <v/>
      </c>
      <c r="K76" s="2" t="n"/>
      <c r="L76" s="2" t="n"/>
      <c r="M76" s="2" t="n"/>
      <c r="N76" s="2">
        <f>IF(OR(K76="",H76=""),"",IF((K76="met")=(H76="met"),1,0))</f>
        <v/>
      </c>
      <c r="O76" s="2">
        <f>IF(OR(L76="",H76=""),"",IF((L76="met")=(H76="met"),1,0))</f>
        <v/>
      </c>
      <c r="P76" s="2">
        <f>IF(OR(M76="",H76=""),"",IF((M76="met")=(H76="met"),1,0))</f>
        <v/>
      </c>
    </row>
    <row r="77">
      <c r="A77" s="2" t="inlineStr">
        <is>
          <t>A11-01</t>
        </is>
      </c>
      <c r="B77" s="2">
        <f>Key!B77</f>
        <v/>
      </c>
      <c r="C77" s="2">
        <f>Key!C77</f>
        <v/>
      </c>
      <c r="D77" s="2">
        <f>IF(Key!D77="","",Key!D77)</f>
        <v/>
      </c>
      <c r="E77" s="2">
        <f>IF(Label_Answers!F77="","",Label_Answers!F77)</f>
        <v/>
      </c>
      <c r="F77" s="2">
        <f>IF(Label_Answers!G77="","",Label_Answers!G77)</f>
        <v/>
      </c>
      <c r="G77" s="5" t="n"/>
      <c r="H77" s="2">
        <f>IF(G77&lt;&gt;"",G77,IF(AND(E77&lt;&gt;"",E77=F77,E77&lt;&gt;"unsure"),E77,""))</f>
        <v/>
      </c>
      <c r="I77" s="2">
        <f>IF(AND(OR(E77="met",E77="not_met"),OR(F77="met",F77="not_met")),1,0)</f>
        <v/>
      </c>
      <c r="J77" s="2">
        <f>IF(I77=1,IF(E77=F77,1,0),"")</f>
        <v/>
      </c>
      <c r="K77" s="2" t="n"/>
      <c r="L77" s="2" t="n"/>
      <c r="M77" s="2" t="n"/>
      <c r="N77" s="2">
        <f>IF(OR(K77="",H77=""),"",IF((K77="met")=(H77="met"),1,0))</f>
        <v/>
      </c>
      <c r="O77" s="2">
        <f>IF(OR(L77="",H77=""),"",IF((L77="met")=(H77="met"),1,0))</f>
        <v/>
      </c>
      <c r="P77" s="2">
        <f>IF(OR(M77="",H77=""),"",IF((M77="met")=(H77="met"),1,0))</f>
        <v/>
      </c>
    </row>
    <row r="78">
      <c r="A78" s="2" t="inlineStr">
        <is>
          <t>A11-02</t>
        </is>
      </c>
      <c r="B78" s="2">
        <f>Key!B78</f>
        <v/>
      </c>
      <c r="C78" s="2">
        <f>Key!C78</f>
        <v/>
      </c>
      <c r="D78" s="2">
        <f>IF(Key!D78="","",Key!D78)</f>
        <v/>
      </c>
      <c r="E78" s="2">
        <f>IF(Label_Answers!F78="","",Label_Answers!F78)</f>
        <v/>
      </c>
      <c r="F78" s="2">
        <f>IF(Label_Answers!G78="","",Label_Answers!G78)</f>
        <v/>
      </c>
      <c r="G78" s="5" t="n"/>
      <c r="H78" s="2">
        <f>IF(G78&lt;&gt;"",G78,IF(AND(E78&lt;&gt;"",E78=F78,E78&lt;&gt;"unsure"),E78,""))</f>
        <v/>
      </c>
      <c r="I78" s="2">
        <f>IF(AND(OR(E78="met",E78="not_met"),OR(F78="met",F78="not_met")),1,0)</f>
        <v/>
      </c>
      <c r="J78" s="2">
        <f>IF(I78=1,IF(E78=F78,1,0),"")</f>
        <v/>
      </c>
      <c r="K78" s="2" t="n"/>
      <c r="L78" s="2" t="n"/>
      <c r="M78" s="2" t="n"/>
      <c r="N78" s="2">
        <f>IF(OR(K78="",H78=""),"",IF((K78="met")=(H78="met"),1,0))</f>
        <v/>
      </c>
      <c r="O78" s="2">
        <f>IF(OR(L78="",H78=""),"",IF((L78="met")=(H78="met"),1,0))</f>
        <v/>
      </c>
      <c r="P78" s="2">
        <f>IF(OR(M78="",H78=""),"",IF((M78="met")=(H78="met"),1,0))</f>
        <v/>
      </c>
    </row>
    <row r="79">
      <c r="A79" s="2" t="inlineStr">
        <is>
          <t>A11-03</t>
        </is>
      </c>
      <c r="B79" s="2">
        <f>Key!B79</f>
        <v/>
      </c>
      <c r="C79" s="2">
        <f>Key!C79</f>
        <v/>
      </c>
      <c r="D79" s="2">
        <f>IF(Key!D79="","",Key!D79)</f>
        <v/>
      </c>
      <c r="E79" s="2">
        <f>IF(Label_Answers!F79="","",Label_Answers!F79)</f>
        <v/>
      </c>
      <c r="F79" s="2">
        <f>IF(Label_Answers!G79="","",Label_Answers!G79)</f>
        <v/>
      </c>
      <c r="G79" s="5" t="n"/>
      <c r="H79" s="2">
        <f>IF(G79&lt;&gt;"",G79,IF(AND(E79&lt;&gt;"",E79=F79,E79&lt;&gt;"unsure"),E79,""))</f>
        <v/>
      </c>
      <c r="I79" s="2">
        <f>IF(AND(OR(E79="met",E79="not_met"),OR(F79="met",F79="not_met")),1,0)</f>
        <v/>
      </c>
      <c r="J79" s="2">
        <f>IF(I79=1,IF(E79=F79,1,0),"")</f>
        <v/>
      </c>
      <c r="K79" s="2" t="n"/>
      <c r="L79" s="2" t="n"/>
      <c r="M79" s="2" t="n"/>
      <c r="N79" s="2">
        <f>IF(OR(K79="",H79=""),"",IF((K79="met")=(H79="met"),1,0))</f>
        <v/>
      </c>
      <c r="O79" s="2">
        <f>IF(OR(L79="",H79=""),"",IF((L79="met")=(H79="met"),1,0))</f>
        <v/>
      </c>
      <c r="P79" s="2">
        <f>IF(OR(M79="",H79=""),"",IF((M79="met")=(H79="met"),1,0))</f>
        <v/>
      </c>
    </row>
    <row r="80">
      <c r="A80" s="2" t="inlineStr">
        <is>
          <t>A11-04</t>
        </is>
      </c>
      <c r="B80" s="2">
        <f>Key!B80</f>
        <v/>
      </c>
      <c r="C80" s="2">
        <f>Key!C80</f>
        <v/>
      </c>
      <c r="D80" s="2">
        <f>IF(Key!D80="","",Key!D80)</f>
        <v/>
      </c>
      <c r="E80" s="2">
        <f>IF(Label_Answers!F80="","",Label_Answers!F80)</f>
        <v/>
      </c>
      <c r="F80" s="2">
        <f>IF(Label_Answers!G80="","",Label_Answers!G80)</f>
        <v/>
      </c>
      <c r="G80" s="5" t="n"/>
      <c r="H80" s="2">
        <f>IF(G80&lt;&gt;"",G80,IF(AND(E80&lt;&gt;"",E80=F80,E80&lt;&gt;"unsure"),E80,""))</f>
        <v/>
      </c>
      <c r="I80" s="2">
        <f>IF(AND(OR(E80="met",E80="not_met"),OR(F80="met",F80="not_met")),1,0)</f>
        <v/>
      </c>
      <c r="J80" s="2">
        <f>IF(I80=1,IF(E80=F80,1,0),"")</f>
        <v/>
      </c>
      <c r="K80" s="2" t="n"/>
      <c r="L80" s="2" t="n"/>
      <c r="M80" s="2" t="n"/>
      <c r="N80" s="2">
        <f>IF(OR(K80="",H80=""),"",IF((K80="met")=(H80="met"),1,0))</f>
        <v/>
      </c>
      <c r="O80" s="2">
        <f>IF(OR(L80="",H80=""),"",IF((L80="met")=(H80="met"),1,0))</f>
        <v/>
      </c>
      <c r="P80" s="2">
        <f>IF(OR(M80="",H80=""),"",IF((M80="met")=(H80="met"),1,0))</f>
        <v/>
      </c>
    </row>
    <row r="81">
      <c r="A81" s="2" t="inlineStr">
        <is>
          <t>A11-05</t>
        </is>
      </c>
      <c r="B81" s="2">
        <f>Key!B81</f>
        <v/>
      </c>
      <c r="C81" s="2">
        <f>Key!C81</f>
        <v/>
      </c>
      <c r="D81" s="2">
        <f>IF(Key!D81="","",Key!D81)</f>
        <v/>
      </c>
      <c r="E81" s="2">
        <f>IF(Label_Answers!F81="","",Label_Answers!F81)</f>
        <v/>
      </c>
      <c r="F81" s="2">
        <f>IF(Label_Answers!G81="","",Label_Answers!G81)</f>
        <v/>
      </c>
      <c r="G81" s="5" t="n"/>
      <c r="H81" s="2">
        <f>IF(G81&lt;&gt;"",G81,IF(AND(E81&lt;&gt;"",E81=F81,E81&lt;&gt;"unsure"),E81,""))</f>
        <v/>
      </c>
      <c r="I81" s="2">
        <f>IF(AND(OR(E81="met",E81="not_met"),OR(F81="met",F81="not_met")),1,0)</f>
        <v/>
      </c>
      <c r="J81" s="2">
        <f>IF(I81=1,IF(E81=F81,1,0),"")</f>
        <v/>
      </c>
      <c r="K81" s="2" t="n"/>
      <c r="L81" s="2" t="n"/>
      <c r="M81" s="2" t="n"/>
      <c r="N81" s="2">
        <f>IF(OR(K81="",H81=""),"",IF((K81="met")=(H81="met"),1,0))</f>
        <v/>
      </c>
      <c r="O81" s="2">
        <f>IF(OR(L81="",H81=""),"",IF((L81="met")=(H81="met"),1,0))</f>
        <v/>
      </c>
      <c r="P81" s="2">
        <f>IF(OR(M81="",H81=""),"",IF((M81="met")=(H81="met"),1,0))</f>
        <v/>
      </c>
    </row>
    <row r="82">
      <c r="A82" s="2" t="inlineStr">
        <is>
          <t>A11-06</t>
        </is>
      </c>
      <c r="B82" s="2">
        <f>Key!B82</f>
        <v/>
      </c>
      <c r="C82" s="2">
        <f>Key!C82</f>
        <v/>
      </c>
      <c r="D82" s="2">
        <f>IF(Key!D82="","",Key!D82)</f>
        <v/>
      </c>
      <c r="E82" s="2">
        <f>IF(Label_Answers!F82="","",Label_Answers!F82)</f>
        <v/>
      </c>
      <c r="F82" s="2">
        <f>IF(Label_Answers!G82="","",Label_Answers!G82)</f>
        <v/>
      </c>
      <c r="G82" s="5" t="n"/>
      <c r="H82" s="2">
        <f>IF(G82&lt;&gt;"",G82,IF(AND(E82&lt;&gt;"",E82=F82,E82&lt;&gt;"unsure"),E82,""))</f>
        <v/>
      </c>
      <c r="I82" s="2">
        <f>IF(AND(OR(E82="met",E82="not_met"),OR(F82="met",F82="not_met")),1,0)</f>
        <v/>
      </c>
      <c r="J82" s="2">
        <f>IF(I82=1,IF(E82=F82,1,0),"")</f>
        <v/>
      </c>
      <c r="K82" s="2" t="n"/>
      <c r="L82" s="2" t="n"/>
      <c r="M82" s="2" t="n"/>
      <c r="N82" s="2">
        <f>IF(OR(K82="",H82=""),"",IF((K82="met")=(H82="met"),1,0))</f>
        <v/>
      </c>
      <c r="O82" s="2">
        <f>IF(OR(L82="",H82=""),"",IF((L82="met")=(H82="met"),1,0))</f>
        <v/>
      </c>
      <c r="P82" s="2">
        <f>IF(OR(M82="",H82=""),"",IF((M82="met")=(H82="met"),1,0))</f>
        <v/>
      </c>
    </row>
    <row r="83">
      <c r="A83" s="2" t="inlineStr">
        <is>
          <t>A11-07</t>
        </is>
      </c>
      <c r="B83" s="2">
        <f>Key!B83</f>
        <v/>
      </c>
      <c r="C83" s="2">
        <f>Key!C83</f>
        <v/>
      </c>
      <c r="D83" s="2">
        <f>IF(Key!D83="","",Key!D83)</f>
        <v/>
      </c>
      <c r="E83" s="2">
        <f>IF(Label_Answers!F83="","",Label_Answers!F83)</f>
        <v/>
      </c>
      <c r="F83" s="2">
        <f>IF(Label_Answers!G83="","",Label_Answers!G83)</f>
        <v/>
      </c>
      <c r="G83" s="5" t="n"/>
      <c r="H83" s="2">
        <f>IF(G83&lt;&gt;"",G83,IF(AND(E83&lt;&gt;"",E83=F83,E83&lt;&gt;"unsure"),E83,""))</f>
        <v/>
      </c>
      <c r="I83" s="2">
        <f>IF(AND(OR(E83="met",E83="not_met"),OR(F83="met",F83="not_met")),1,0)</f>
        <v/>
      </c>
      <c r="J83" s="2">
        <f>IF(I83=1,IF(E83=F83,1,0),"")</f>
        <v/>
      </c>
      <c r="K83" s="2" t="n"/>
      <c r="L83" s="2" t="n"/>
      <c r="M83" s="2" t="n"/>
      <c r="N83" s="2">
        <f>IF(OR(K83="",H83=""),"",IF((K83="met")=(H83="met"),1,0))</f>
        <v/>
      </c>
      <c r="O83" s="2">
        <f>IF(OR(L83="",H83=""),"",IF((L83="met")=(H83="met"),1,0))</f>
        <v/>
      </c>
      <c r="P83" s="2">
        <f>IF(OR(M83="",H83=""),"",IF((M83="met")=(H83="met"),1,0))</f>
        <v/>
      </c>
    </row>
    <row r="84">
      <c r="A84" s="2" t="inlineStr">
        <is>
          <t>A12-01</t>
        </is>
      </c>
      <c r="B84" s="2">
        <f>Key!B84</f>
        <v/>
      </c>
      <c r="C84" s="2">
        <f>Key!C84</f>
        <v/>
      </c>
      <c r="D84" s="2">
        <f>IF(Key!D84="","",Key!D84)</f>
        <v/>
      </c>
      <c r="E84" s="2">
        <f>IF(Label_Answers!F84="","",Label_Answers!F84)</f>
        <v/>
      </c>
      <c r="F84" s="2">
        <f>IF(Label_Answers!G84="","",Label_Answers!G84)</f>
        <v/>
      </c>
      <c r="G84" s="5" t="n"/>
      <c r="H84" s="2">
        <f>IF(G84&lt;&gt;"",G84,IF(AND(E84&lt;&gt;"",E84=F84,E84&lt;&gt;"unsure"),E84,""))</f>
        <v/>
      </c>
      <c r="I84" s="2">
        <f>IF(AND(OR(E84="met",E84="not_met"),OR(F84="met",F84="not_met")),1,0)</f>
        <v/>
      </c>
      <c r="J84" s="2">
        <f>IF(I84=1,IF(E84=F84,1,0),"")</f>
        <v/>
      </c>
      <c r="K84" s="2" t="n"/>
      <c r="L84" s="2" t="n"/>
      <c r="M84" s="2" t="n"/>
      <c r="N84" s="2">
        <f>IF(OR(K84="",H84=""),"",IF((K84="met")=(H84="met"),1,0))</f>
        <v/>
      </c>
      <c r="O84" s="2">
        <f>IF(OR(L84="",H84=""),"",IF((L84="met")=(H84="met"),1,0))</f>
        <v/>
      </c>
      <c r="P84" s="2">
        <f>IF(OR(M84="",H84=""),"",IF((M84="met")=(H84="met"),1,0))</f>
        <v/>
      </c>
    </row>
    <row r="85">
      <c r="A85" s="2" t="inlineStr">
        <is>
          <t>A12-02</t>
        </is>
      </c>
      <c r="B85" s="2">
        <f>Key!B85</f>
        <v/>
      </c>
      <c r="C85" s="2">
        <f>Key!C85</f>
        <v/>
      </c>
      <c r="D85" s="2">
        <f>IF(Key!D85="","",Key!D85)</f>
        <v/>
      </c>
      <c r="E85" s="2">
        <f>IF(Label_Answers!F85="","",Label_Answers!F85)</f>
        <v/>
      </c>
      <c r="F85" s="2">
        <f>IF(Label_Answers!G85="","",Label_Answers!G85)</f>
        <v/>
      </c>
      <c r="G85" s="5" t="n"/>
      <c r="H85" s="2">
        <f>IF(G85&lt;&gt;"",G85,IF(AND(E85&lt;&gt;"",E85=F85,E85&lt;&gt;"unsure"),E85,""))</f>
        <v/>
      </c>
      <c r="I85" s="2">
        <f>IF(AND(OR(E85="met",E85="not_met"),OR(F85="met",F85="not_met")),1,0)</f>
        <v/>
      </c>
      <c r="J85" s="2">
        <f>IF(I85=1,IF(E85=F85,1,0),"")</f>
        <v/>
      </c>
      <c r="K85" s="2" t="n"/>
      <c r="L85" s="2" t="n"/>
      <c r="M85" s="2" t="n"/>
      <c r="N85" s="2">
        <f>IF(OR(K85="",H85=""),"",IF((K85="met")=(H85="met"),1,0))</f>
        <v/>
      </c>
      <c r="O85" s="2">
        <f>IF(OR(L85="",H85=""),"",IF((L85="met")=(H85="met"),1,0))</f>
        <v/>
      </c>
      <c r="P85" s="2">
        <f>IF(OR(M85="",H85=""),"",IF((M85="met")=(H85="met"),1,0))</f>
        <v/>
      </c>
    </row>
    <row r="86">
      <c r="A86" s="2" t="inlineStr">
        <is>
          <t>A12-03</t>
        </is>
      </c>
      <c r="B86" s="2">
        <f>Key!B86</f>
        <v/>
      </c>
      <c r="C86" s="2">
        <f>Key!C86</f>
        <v/>
      </c>
      <c r="D86" s="2">
        <f>IF(Key!D86="","",Key!D86)</f>
        <v/>
      </c>
      <c r="E86" s="2">
        <f>IF(Label_Answers!F86="","",Label_Answers!F86)</f>
        <v/>
      </c>
      <c r="F86" s="2">
        <f>IF(Label_Answers!G86="","",Label_Answers!G86)</f>
        <v/>
      </c>
      <c r="G86" s="5" t="n"/>
      <c r="H86" s="2">
        <f>IF(G86&lt;&gt;"",G86,IF(AND(E86&lt;&gt;"",E86=F86,E86&lt;&gt;"unsure"),E86,""))</f>
        <v/>
      </c>
      <c r="I86" s="2">
        <f>IF(AND(OR(E86="met",E86="not_met"),OR(F86="met",F86="not_met")),1,0)</f>
        <v/>
      </c>
      <c r="J86" s="2">
        <f>IF(I86=1,IF(E86=F86,1,0),"")</f>
        <v/>
      </c>
      <c r="K86" s="2" t="n"/>
      <c r="L86" s="2" t="n"/>
      <c r="M86" s="2" t="n"/>
      <c r="N86" s="2">
        <f>IF(OR(K86="",H86=""),"",IF((K86="met")=(H86="met"),1,0))</f>
        <v/>
      </c>
      <c r="O86" s="2">
        <f>IF(OR(L86="",H86=""),"",IF((L86="met")=(H86="met"),1,0))</f>
        <v/>
      </c>
      <c r="P86" s="2">
        <f>IF(OR(M86="",H86=""),"",IF((M86="met")=(H86="met"),1,0))</f>
        <v/>
      </c>
    </row>
    <row r="87">
      <c r="A87" s="2" t="inlineStr">
        <is>
          <t>A12-04</t>
        </is>
      </c>
      <c r="B87" s="2">
        <f>Key!B87</f>
        <v/>
      </c>
      <c r="C87" s="2">
        <f>Key!C87</f>
        <v/>
      </c>
      <c r="D87" s="2">
        <f>IF(Key!D87="","",Key!D87)</f>
        <v/>
      </c>
      <c r="E87" s="2">
        <f>IF(Label_Answers!F87="","",Label_Answers!F87)</f>
        <v/>
      </c>
      <c r="F87" s="2">
        <f>IF(Label_Answers!G87="","",Label_Answers!G87)</f>
        <v/>
      </c>
      <c r="G87" s="5" t="n"/>
      <c r="H87" s="2">
        <f>IF(G87&lt;&gt;"",G87,IF(AND(E87&lt;&gt;"",E87=F87,E87&lt;&gt;"unsure"),E87,""))</f>
        <v/>
      </c>
      <c r="I87" s="2">
        <f>IF(AND(OR(E87="met",E87="not_met"),OR(F87="met",F87="not_met")),1,0)</f>
        <v/>
      </c>
      <c r="J87" s="2">
        <f>IF(I87=1,IF(E87=F87,1,0),"")</f>
        <v/>
      </c>
      <c r="K87" s="2" t="n"/>
      <c r="L87" s="2" t="n"/>
      <c r="M87" s="2" t="n"/>
      <c r="N87" s="2">
        <f>IF(OR(K87="",H87=""),"",IF((K87="met")=(H87="met"),1,0))</f>
        <v/>
      </c>
      <c r="O87" s="2">
        <f>IF(OR(L87="",H87=""),"",IF((L87="met")=(H87="met"),1,0))</f>
        <v/>
      </c>
      <c r="P87" s="2">
        <f>IF(OR(M87="",H87=""),"",IF((M87="met")=(H87="met"),1,0))</f>
        <v/>
      </c>
    </row>
    <row r="88">
      <c r="A88" s="2" t="inlineStr">
        <is>
          <t>A12-05</t>
        </is>
      </c>
      <c r="B88" s="2">
        <f>Key!B88</f>
        <v/>
      </c>
      <c r="C88" s="2">
        <f>Key!C88</f>
        <v/>
      </c>
      <c r="D88" s="2">
        <f>IF(Key!D88="","",Key!D88)</f>
        <v/>
      </c>
      <c r="E88" s="2">
        <f>IF(Label_Answers!F88="","",Label_Answers!F88)</f>
        <v/>
      </c>
      <c r="F88" s="2">
        <f>IF(Label_Answers!G88="","",Label_Answers!G88)</f>
        <v/>
      </c>
      <c r="G88" s="5" t="n"/>
      <c r="H88" s="2">
        <f>IF(G88&lt;&gt;"",G88,IF(AND(E88&lt;&gt;"",E88=F88,E88&lt;&gt;"unsure"),E88,""))</f>
        <v/>
      </c>
      <c r="I88" s="2">
        <f>IF(AND(OR(E88="met",E88="not_met"),OR(F88="met",F88="not_met")),1,0)</f>
        <v/>
      </c>
      <c r="J88" s="2">
        <f>IF(I88=1,IF(E88=F88,1,0),"")</f>
        <v/>
      </c>
      <c r="K88" s="2" t="n"/>
      <c r="L88" s="2" t="n"/>
      <c r="M88" s="2" t="n"/>
      <c r="N88" s="2">
        <f>IF(OR(K88="",H88=""),"",IF((K88="met")=(H88="met"),1,0))</f>
        <v/>
      </c>
      <c r="O88" s="2">
        <f>IF(OR(L88="",H88=""),"",IF((L88="met")=(H88="met"),1,0))</f>
        <v/>
      </c>
      <c r="P88" s="2">
        <f>IF(OR(M88="",H88=""),"",IF((M88="met")=(H88="met"),1,0))</f>
        <v/>
      </c>
    </row>
    <row r="89">
      <c r="A89" s="2" t="inlineStr">
        <is>
          <t>A12-06</t>
        </is>
      </c>
      <c r="B89" s="2">
        <f>Key!B89</f>
        <v/>
      </c>
      <c r="C89" s="2">
        <f>Key!C89</f>
        <v/>
      </c>
      <c r="D89" s="2">
        <f>IF(Key!D89="","",Key!D89)</f>
        <v/>
      </c>
      <c r="E89" s="2">
        <f>IF(Label_Answers!F89="","",Label_Answers!F89)</f>
        <v/>
      </c>
      <c r="F89" s="2">
        <f>IF(Label_Answers!G89="","",Label_Answers!G89)</f>
        <v/>
      </c>
      <c r="G89" s="5" t="n"/>
      <c r="H89" s="2">
        <f>IF(G89&lt;&gt;"",G89,IF(AND(E89&lt;&gt;"",E89=F89,E89&lt;&gt;"unsure"),E89,""))</f>
        <v/>
      </c>
      <c r="I89" s="2">
        <f>IF(AND(OR(E89="met",E89="not_met"),OR(F89="met",F89="not_met")),1,0)</f>
        <v/>
      </c>
      <c r="J89" s="2">
        <f>IF(I89=1,IF(E89=F89,1,0),"")</f>
        <v/>
      </c>
      <c r="K89" s="2" t="n"/>
      <c r="L89" s="2" t="n"/>
      <c r="M89" s="2" t="n"/>
      <c r="N89" s="2">
        <f>IF(OR(K89="",H89=""),"",IF((K89="met")=(H89="met"),1,0))</f>
        <v/>
      </c>
      <c r="O89" s="2">
        <f>IF(OR(L89="",H89=""),"",IF((L89="met")=(H89="met"),1,0))</f>
        <v/>
      </c>
      <c r="P89" s="2">
        <f>IF(OR(M89="",H89=""),"",IF((M89="met")=(H89="met"),1,0))</f>
        <v/>
      </c>
    </row>
    <row r="90">
      <c r="A90" s="2" t="inlineStr">
        <is>
          <t>A12-07</t>
        </is>
      </c>
      <c r="B90" s="2">
        <f>Key!B90</f>
        <v/>
      </c>
      <c r="C90" s="2">
        <f>Key!C90</f>
        <v/>
      </c>
      <c r="D90" s="2">
        <f>IF(Key!D90="","",Key!D90)</f>
        <v/>
      </c>
      <c r="E90" s="2">
        <f>IF(Label_Answers!F90="","",Label_Answers!F90)</f>
        <v/>
      </c>
      <c r="F90" s="2">
        <f>IF(Label_Answers!G90="","",Label_Answers!G90)</f>
        <v/>
      </c>
      <c r="G90" s="5" t="n"/>
      <c r="H90" s="2">
        <f>IF(G90&lt;&gt;"",G90,IF(AND(E90&lt;&gt;"",E90=F90,E90&lt;&gt;"unsure"),E90,""))</f>
        <v/>
      </c>
      <c r="I90" s="2">
        <f>IF(AND(OR(E90="met",E90="not_met"),OR(F90="met",F90="not_met")),1,0)</f>
        <v/>
      </c>
      <c r="J90" s="2">
        <f>IF(I90=1,IF(E90=F90,1,0),"")</f>
        <v/>
      </c>
      <c r="K90" s="2" t="n"/>
      <c r="L90" s="2" t="n"/>
      <c r="M90" s="2" t="n"/>
      <c r="N90" s="2">
        <f>IF(OR(K90="",H90=""),"",IF((K90="met")=(H90="met"),1,0))</f>
        <v/>
      </c>
      <c r="O90" s="2">
        <f>IF(OR(L90="",H90=""),"",IF((L90="met")=(H90="met"),1,0))</f>
        <v/>
      </c>
      <c r="P90" s="2">
        <f>IF(OR(M90="",H90=""),"",IF((M90="met")=(H90="met"),1,0))</f>
        <v/>
      </c>
    </row>
    <row r="91">
      <c r="A91" s="2" t="inlineStr">
        <is>
          <t>A13-01</t>
        </is>
      </c>
      <c r="B91" s="2">
        <f>Key!B91</f>
        <v/>
      </c>
      <c r="C91" s="2">
        <f>Key!C91</f>
        <v/>
      </c>
      <c r="D91" s="2">
        <f>IF(Key!D91="","",Key!D91)</f>
        <v/>
      </c>
      <c r="E91" s="2">
        <f>IF(Label_Answers!F91="","",Label_Answers!F91)</f>
        <v/>
      </c>
      <c r="F91" s="2">
        <f>IF(Label_Answers!G91="","",Label_Answers!G91)</f>
        <v/>
      </c>
      <c r="G91" s="5" t="n"/>
      <c r="H91" s="2">
        <f>IF(G91&lt;&gt;"",G91,IF(AND(E91&lt;&gt;"",E91=F91,E91&lt;&gt;"unsure"),E91,""))</f>
        <v/>
      </c>
      <c r="I91" s="2">
        <f>IF(AND(OR(E91="met",E91="not_met"),OR(F91="met",F91="not_met")),1,0)</f>
        <v/>
      </c>
      <c r="J91" s="2">
        <f>IF(I91=1,IF(E91=F91,1,0),"")</f>
        <v/>
      </c>
      <c r="K91" s="2" t="n"/>
      <c r="L91" s="2" t="n"/>
      <c r="M91" s="2" t="n"/>
      <c r="N91" s="2">
        <f>IF(OR(K91="",H91=""),"",IF((K91="met")=(H91="met"),1,0))</f>
        <v/>
      </c>
      <c r="O91" s="2">
        <f>IF(OR(L91="",H91=""),"",IF((L91="met")=(H91="met"),1,0))</f>
        <v/>
      </c>
      <c r="P91" s="2">
        <f>IF(OR(M91="",H91=""),"",IF((M91="met")=(H91="met"),1,0))</f>
        <v/>
      </c>
    </row>
    <row r="92">
      <c r="A92" s="2" t="inlineStr">
        <is>
          <t>A13-02</t>
        </is>
      </c>
      <c r="B92" s="2">
        <f>Key!B92</f>
        <v/>
      </c>
      <c r="C92" s="2">
        <f>Key!C92</f>
        <v/>
      </c>
      <c r="D92" s="2">
        <f>IF(Key!D92="","",Key!D92)</f>
        <v/>
      </c>
      <c r="E92" s="2">
        <f>IF(Label_Answers!F92="","",Label_Answers!F92)</f>
        <v/>
      </c>
      <c r="F92" s="2">
        <f>IF(Label_Answers!G92="","",Label_Answers!G92)</f>
        <v/>
      </c>
      <c r="G92" s="5" t="n"/>
      <c r="H92" s="2">
        <f>IF(G92&lt;&gt;"",G92,IF(AND(E92&lt;&gt;"",E92=F92,E92&lt;&gt;"unsure"),E92,""))</f>
        <v/>
      </c>
      <c r="I92" s="2">
        <f>IF(AND(OR(E92="met",E92="not_met"),OR(F92="met",F92="not_met")),1,0)</f>
        <v/>
      </c>
      <c r="J92" s="2">
        <f>IF(I92=1,IF(E92=F92,1,0),"")</f>
        <v/>
      </c>
      <c r="K92" s="2" t="n"/>
      <c r="L92" s="2" t="n"/>
      <c r="M92" s="2" t="n"/>
      <c r="N92" s="2">
        <f>IF(OR(K92="",H92=""),"",IF((K92="met")=(H92="met"),1,0))</f>
        <v/>
      </c>
      <c r="O92" s="2">
        <f>IF(OR(L92="",H92=""),"",IF((L92="met")=(H92="met"),1,0))</f>
        <v/>
      </c>
      <c r="P92" s="2">
        <f>IF(OR(M92="",H92=""),"",IF((M92="met")=(H92="met"),1,0))</f>
        <v/>
      </c>
    </row>
    <row r="93">
      <c r="A93" s="2" t="inlineStr">
        <is>
          <t>A13-03</t>
        </is>
      </c>
      <c r="B93" s="2">
        <f>Key!B93</f>
        <v/>
      </c>
      <c r="C93" s="2">
        <f>Key!C93</f>
        <v/>
      </c>
      <c r="D93" s="2">
        <f>IF(Key!D93="","",Key!D93)</f>
        <v/>
      </c>
      <c r="E93" s="2">
        <f>IF(Label_Answers!F93="","",Label_Answers!F93)</f>
        <v/>
      </c>
      <c r="F93" s="2">
        <f>IF(Label_Answers!G93="","",Label_Answers!G93)</f>
        <v/>
      </c>
      <c r="G93" s="5" t="n"/>
      <c r="H93" s="2">
        <f>IF(G93&lt;&gt;"",G93,IF(AND(E93&lt;&gt;"",E93=F93,E93&lt;&gt;"unsure"),E93,""))</f>
        <v/>
      </c>
      <c r="I93" s="2">
        <f>IF(AND(OR(E93="met",E93="not_met"),OR(F93="met",F93="not_met")),1,0)</f>
        <v/>
      </c>
      <c r="J93" s="2">
        <f>IF(I93=1,IF(E93=F93,1,0),"")</f>
        <v/>
      </c>
      <c r="K93" s="2" t="n"/>
      <c r="L93" s="2" t="n"/>
      <c r="M93" s="2" t="n"/>
      <c r="N93" s="2">
        <f>IF(OR(K93="",H93=""),"",IF((K93="met")=(H93="met"),1,0))</f>
        <v/>
      </c>
      <c r="O93" s="2">
        <f>IF(OR(L93="",H93=""),"",IF((L93="met")=(H93="met"),1,0))</f>
        <v/>
      </c>
      <c r="P93" s="2">
        <f>IF(OR(M93="",H93=""),"",IF((M93="met")=(H93="met"),1,0))</f>
        <v/>
      </c>
    </row>
    <row r="94">
      <c r="A94" s="2" t="inlineStr">
        <is>
          <t>A13-04</t>
        </is>
      </c>
      <c r="B94" s="2">
        <f>Key!B94</f>
        <v/>
      </c>
      <c r="C94" s="2">
        <f>Key!C94</f>
        <v/>
      </c>
      <c r="D94" s="2">
        <f>IF(Key!D94="","",Key!D94)</f>
        <v/>
      </c>
      <c r="E94" s="2">
        <f>IF(Label_Answers!F94="","",Label_Answers!F94)</f>
        <v/>
      </c>
      <c r="F94" s="2">
        <f>IF(Label_Answers!G94="","",Label_Answers!G94)</f>
        <v/>
      </c>
      <c r="G94" s="5" t="n"/>
      <c r="H94" s="2">
        <f>IF(G94&lt;&gt;"",G94,IF(AND(E94&lt;&gt;"",E94=F94,E94&lt;&gt;"unsure"),E94,""))</f>
        <v/>
      </c>
      <c r="I94" s="2">
        <f>IF(AND(OR(E94="met",E94="not_met"),OR(F94="met",F94="not_met")),1,0)</f>
        <v/>
      </c>
      <c r="J94" s="2">
        <f>IF(I94=1,IF(E94=F94,1,0),"")</f>
        <v/>
      </c>
      <c r="K94" s="2" t="n"/>
      <c r="L94" s="2" t="n"/>
      <c r="M94" s="2" t="n"/>
      <c r="N94" s="2">
        <f>IF(OR(K94="",H94=""),"",IF((K94="met")=(H94="met"),1,0))</f>
        <v/>
      </c>
      <c r="O94" s="2">
        <f>IF(OR(L94="",H94=""),"",IF((L94="met")=(H94="met"),1,0))</f>
        <v/>
      </c>
      <c r="P94" s="2">
        <f>IF(OR(M94="",H94=""),"",IF((M94="met")=(H94="met"),1,0))</f>
        <v/>
      </c>
    </row>
    <row r="95">
      <c r="A95" s="2" t="inlineStr">
        <is>
          <t>A13-05</t>
        </is>
      </c>
      <c r="B95" s="2">
        <f>Key!B95</f>
        <v/>
      </c>
      <c r="C95" s="2">
        <f>Key!C95</f>
        <v/>
      </c>
      <c r="D95" s="2">
        <f>IF(Key!D95="","",Key!D95)</f>
        <v/>
      </c>
      <c r="E95" s="2">
        <f>IF(Label_Answers!F95="","",Label_Answers!F95)</f>
        <v/>
      </c>
      <c r="F95" s="2">
        <f>IF(Label_Answers!G95="","",Label_Answers!G95)</f>
        <v/>
      </c>
      <c r="G95" s="5" t="n"/>
      <c r="H95" s="2">
        <f>IF(G95&lt;&gt;"",G95,IF(AND(E95&lt;&gt;"",E95=F95,E95&lt;&gt;"unsure"),E95,""))</f>
        <v/>
      </c>
      <c r="I95" s="2">
        <f>IF(AND(OR(E95="met",E95="not_met"),OR(F95="met",F95="not_met")),1,0)</f>
        <v/>
      </c>
      <c r="J95" s="2">
        <f>IF(I95=1,IF(E95=F95,1,0),"")</f>
        <v/>
      </c>
      <c r="K95" s="2" t="n"/>
      <c r="L95" s="2" t="n"/>
      <c r="M95" s="2" t="n"/>
      <c r="N95" s="2">
        <f>IF(OR(K95="",H95=""),"",IF((K95="met")=(H95="met"),1,0))</f>
        <v/>
      </c>
      <c r="O95" s="2">
        <f>IF(OR(L95="",H95=""),"",IF((L95="met")=(H95="met"),1,0))</f>
        <v/>
      </c>
      <c r="P95" s="2">
        <f>IF(OR(M95="",H95=""),"",IF((M95="met")=(H95="met"),1,0))</f>
        <v/>
      </c>
    </row>
    <row r="96">
      <c r="A96" s="2" t="inlineStr">
        <is>
          <t>A13-06</t>
        </is>
      </c>
      <c r="B96" s="2">
        <f>Key!B96</f>
        <v/>
      </c>
      <c r="C96" s="2">
        <f>Key!C96</f>
        <v/>
      </c>
      <c r="D96" s="2">
        <f>IF(Key!D96="","",Key!D96)</f>
        <v/>
      </c>
      <c r="E96" s="2">
        <f>IF(Label_Answers!F96="","",Label_Answers!F96)</f>
        <v/>
      </c>
      <c r="F96" s="2">
        <f>IF(Label_Answers!G96="","",Label_Answers!G96)</f>
        <v/>
      </c>
      <c r="G96" s="5" t="n"/>
      <c r="H96" s="2">
        <f>IF(G96&lt;&gt;"",G96,IF(AND(E96&lt;&gt;"",E96=F96,E96&lt;&gt;"unsure"),E96,""))</f>
        <v/>
      </c>
      <c r="I96" s="2">
        <f>IF(AND(OR(E96="met",E96="not_met"),OR(F96="met",F96="not_met")),1,0)</f>
        <v/>
      </c>
      <c r="J96" s="2">
        <f>IF(I96=1,IF(E96=F96,1,0),"")</f>
        <v/>
      </c>
      <c r="K96" s="2" t="n"/>
      <c r="L96" s="2" t="n"/>
      <c r="M96" s="2" t="n"/>
      <c r="N96" s="2">
        <f>IF(OR(K96="",H96=""),"",IF((K96="met")=(H96="met"),1,0))</f>
        <v/>
      </c>
      <c r="O96" s="2">
        <f>IF(OR(L96="",H96=""),"",IF((L96="met")=(H96="met"),1,0))</f>
        <v/>
      </c>
      <c r="P96" s="2">
        <f>IF(OR(M96="",H96=""),"",IF((M96="met")=(H96="met"),1,0))</f>
        <v/>
      </c>
    </row>
    <row r="97">
      <c r="A97" s="2" t="inlineStr">
        <is>
          <t>A13-07</t>
        </is>
      </c>
      <c r="B97" s="2">
        <f>Key!B97</f>
        <v/>
      </c>
      <c r="C97" s="2">
        <f>Key!C97</f>
        <v/>
      </c>
      <c r="D97" s="2">
        <f>IF(Key!D97="","",Key!D97)</f>
        <v/>
      </c>
      <c r="E97" s="2">
        <f>IF(Label_Answers!F97="","",Label_Answers!F97)</f>
        <v/>
      </c>
      <c r="F97" s="2">
        <f>IF(Label_Answers!G97="","",Label_Answers!G97)</f>
        <v/>
      </c>
      <c r="G97" s="5" t="n"/>
      <c r="H97" s="2">
        <f>IF(G97&lt;&gt;"",G97,IF(AND(E97&lt;&gt;"",E97=F97,E97&lt;&gt;"unsure"),E97,""))</f>
        <v/>
      </c>
      <c r="I97" s="2">
        <f>IF(AND(OR(E97="met",E97="not_met"),OR(F97="met",F97="not_met")),1,0)</f>
        <v/>
      </c>
      <c r="J97" s="2">
        <f>IF(I97=1,IF(E97=F97,1,0),"")</f>
        <v/>
      </c>
      <c r="K97" s="2" t="n"/>
      <c r="L97" s="2" t="n"/>
      <c r="M97" s="2" t="n"/>
      <c r="N97" s="2">
        <f>IF(OR(K97="",H97=""),"",IF((K97="met")=(H97="met"),1,0))</f>
        <v/>
      </c>
      <c r="O97" s="2">
        <f>IF(OR(L97="",H97=""),"",IF((L97="met")=(H97="met"),1,0))</f>
        <v/>
      </c>
      <c r="P97" s="2">
        <f>IF(OR(M97="",H97=""),"",IF((M97="met")=(H97="met"),1,0))</f>
        <v/>
      </c>
    </row>
    <row r="98">
      <c r="A98" s="2" t="inlineStr">
        <is>
          <t>A14-01</t>
        </is>
      </c>
      <c r="B98" s="2">
        <f>Key!B98</f>
        <v/>
      </c>
      <c r="C98" s="2">
        <f>Key!C98</f>
        <v/>
      </c>
      <c r="D98" s="2">
        <f>IF(Key!D98="","",Key!D98)</f>
        <v/>
      </c>
      <c r="E98" s="2">
        <f>IF(Label_Answers!F98="","",Label_Answers!F98)</f>
        <v/>
      </c>
      <c r="F98" s="2">
        <f>IF(Label_Answers!G98="","",Label_Answers!G98)</f>
        <v/>
      </c>
      <c r="G98" s="5" t="n"/>
      <c r="H98" s="2">
        <f>IF(G98&lt;&gt;"",G98,IF(AND(E98&lt;&gt;"",E98=F98,E98&lt;&gt;"unsure"),E98,""))</f>
        <v/>
      </c>
      <c r="I98" s="2">
        <f>IF(AND(OR(E98="met",E98="not_met"),OR(F98="met",F98="not_met")),1,0)</f>
        <v/>
      </c>
      <c r="J98" s="2">
        <f>IF(I98=1,IF(E98=F98,1,0),"")</f>
        <v/>
      </c>
      <c r="K98" s="2" t="n"/>
      <c r="L98" s="2" t="n"/>
      <c r="M98" s="2" t="n"/>
      <c r="N98" s="2">
        <f>IF(OR(K98="",H98=""),"",IF((K98="met")=(H98="met"),1,0))</f>
        <v/>
      </c>
      <c r="O98" s="2">
        <f>IF(OR(L98="",H98=""),"",IF((L98="met")=(H98="met"),1,0))</f>
        <v/>
      </c>
      <c r="P98" s="2">
        <f>IF(OR(M98="",H98=""),"",IF((M98="met")=(H98="met"),1,0))</f>
        <v/>
      </c>
    </row>
    <row r="99">
      <c r="A99" s="2" t="inlineStr">
        <is>
          <t>A14-02</t>
        </is>
      </c>
      <c r="B99" s="2">
        <f>Key!B99</f>
        <v/>
      </c>
      <c r="C99" s="2">
        <f>Key!C99</f>
        <v/>
      </c>
      <c r="D99" s="2">
        <f>IF(Key!D99="","",Key!D99)</f>
        <v/>
      </c>
      <c r="E99" s="2">
        <f>IF(Label_Answers!F99="","",Label_Answers!F99)</f>
        <v/>
      </c>
      <c r="F99" s="2">
        <f>IF(Label_Answers!G99="","",Label_Answers!G99)</f>
        <v/>
      </c>
      <c r="G99" s="5" t="n"/>
      <c r="H99" s="2">
        <f>IF(G99&lt;&gt;"",G99,IF(AND(E99&lt;&gt;"",E99=F99,E99&lt;&gt;"unsure"),E99,""))</f>
        <v/>
      </c>
      <c r="I99" s="2">
        <f>IF(AND(OR(E99="met",E99="not_met"),OR(F99="met",F99="not_met")),1,0)</f>
        <v/>
      </c>
      <c r="J99" s="2">
        <f>IF(I99=1,IF(E99=F99,1,0),"")</f>
        <v/>
      </c>
      <c r="K99" s="2" t="n"/>
      <c r="L99" s="2" t="n"/>
      <c r="M99" s="2" t="n"/>
      <c r="N99" s="2">
        <f>IF(OR(K99="",H99=""),"",IF((K99="met")=(H99="met"),1,0))</f>
        <v/>
      </c>
      <c r="O99" s="2">
        <f>IF(OR(L99="",H99=""),"",IF((L99="met")=(H99="met"),1,0))</f>
        <v/>
      </c>
      <c r="P99" s="2">
        <f>IF(OR(M99="",H99=""),"",IF((M99="met")=(H99="met"),1,0))</f>
        <v/>
      </c>
    </row>
    <row r="100">
      <c r="A100" s="2" t="inlineStr">
        <is>
          <t>A14-03</t>
        </is>
      </c>
      <c r="B100" s="2">
        <f>Key!B100</f>
        <v/>
      </c>
      <c r="C100" s="2">
        <f>Key!C100</f>
        <v/>
      </c>
      <c r="D100" s="2">
        <f>IF(Key!D100="","",Key!D100)</f>
        <v/>
      </c>
      <c r="E100" s="2">
        <f>IF(Label_Answers!F100="","",Label_Answers!F100)</f>
        <v/>
      </c>
      <c r="F100" s="2">
        <f>IF(Label_Answers!G100="","",Label_Answers!G100)</f>
        <v/>
      </c>
      <c r="G100" s="5" t="n"/>
      <c r="H100" s="2">
        <f>IF(G100&lt;&gt;"",G100,IF(AND(E100&lt;&gt;"",E100=F100,E100&lt;&gt;"unsure"),E100,""))</f>
        <v/>
      </c>
      <c r="I100" s="2">
        <f>IF(AND(OR(E100="met",E100="not_met"),OR(F100="met",F100="not_met")),1,0)</f>
        <v/>
      </c>
      <c r="J100" s="2">
        <f>IF(I100=1,IF(E100=F100,1,0),"")</f>
        <v/>
      </c>
      <c r="K100" s="2" t="n"/>
      <c r="L100" s="2" t="n"/>
      <c r="M100" s="2" t="n"/>
      <c r="N100" s="2">
        <f>IF(OR(K100="",H100=""),"",IF((K100="met")=(H100="met"),1,0))</f>
        <v/>
      </c>
      <c r="O100" s="2">
        <f>IF(OR(L100="",H100=""),"",IF((L100="met")=(H100="met"),1,0))</f>
        <v/>
      </c>
      <c r="P100" s="2">
        <f>IF(OR(M100="",H100=""),"",IF((M100="met")=(H100="met"),1,0))</f>
        <v/>
      </c>
    </row>
    <row r="101">
      <c r="A101" s="2" t="inlineStr">
        <is>
          <t>A14-04</t>
        </is>
      </c>
      <c r="B101" s="2">
        <f>Key!B101</f>
        <v/>
      </c>
      <c r="C101" s="2">
        <f>Key!C101</f>
        <v/>
      </c>
      <c r="D101" s="2">
        <f>IF(Key!D101="","",Key!D101)</f>
        <v/>
      </c>
      <c r="E101" s="2">
        <f>IF(Label_Answers!F101="","",Label_Answers!F101)</f>
        <v/>
      </c>
      <c r="F101" s="2">
        <f>IF(Label_Answers!G101="","",Label_Answers!G101)</f>
        <v/>
      </c>
      <c r="G101" s="5" t="n"/>
      <c r="H101" s="2">
        <f>IF(G101&lt;&gt;"",G101,IF(AND(E101&lt;&gt;"",E101=F101,E101&lt;&gt;"unsure"),E101,""))</f>
        <v/>
      </c>
      <c r="I101" s="2">
        <f>IF(AND(OR(E101="met",E101="not_met"),OR(F101="met",F101="not_met")),1,0)</f>
        <v/>
      </c>
      <c r="J101" s="2">
        <f>IF(I101=1,IF(E101=F101,1,0),"")</f>
        <v/>
      </c>
      <c r="K101" s="2" t="n"/>
      <c r="L101" s="2" t="n"/>
      <c r="M101" s="2" t="n"/>
      <c r="N101" s="2">
        <f>IF(OR(K101="",H101=""),"",IF((K101="met")=(H101="met"),1,0))</f>
        <v/>
      </c>
      <c r="O101" s="2">
        <f>IF(OR(L101="",H101=""),"",IF((L101="met")=(H101="met"),1,0))</f>
        <v/>
      </c>
      <c r="P101" s="2">
        <f>IF(OR(M101="",H101=""),"",IF((M101="met")=(H101="met"),1,0))</f>
        <v/>
      </c>
    </row>
    <row r="102">
      <c r="A102" s="2" t="inlineStr">
        <is>
          <t>A14-05</t>
        </is>
      </c>
      <c r="B102" s="2">
        <f>Key!B102</f>
        <v/>
      </c>
      <c r="C102" s="2">
        <f>Key!C102</f>
        <v/>
      </c>
      <c r="D102" s="2">
        <f>IF(Key!D102="","",Key!D102)</f>
        <v/>
      </c>
      <c r="E102" s="2">
        <f>IF(Label_Answers!F102="","",Label_Answers!F102)</f>
        <v/>
      </c>
      <c r="F102" s="2">
        <f>IF(Label_Answers!G102="","",Label_Answers!G102)</f>
        <v/>
      </c>
      <c r="G102" s="5" t="n"/>
      <c r="H102" s="2">
        <f>IF(G102&lt;&gt;"",G102,IF(AND(E102&lt;&gt;"",E102=F102,E102&lt;&gt;"unsure"),E102,""))</f>
        <v/>
      </c>
      <c r="I102" s="2">
        <f>IF(AND(OR(E102="met",E102="not_met"),OR(F102="met",F102="not_met")),1,0)</f>
        <v/>
      </c>
      <c r="J102" s="2">
        <f>IF(I102=1,IF(E102=F102,1,0),"")</f>
        <v/>
      </c>
      <c r="K102" s="2" t="n"/>
      <c r="L102" s="2" t="n"/>
      <c r="M102" s="2" t="n"/>
      <c r="N102" s="2">
        <f>IF(OR(K102="",H102=""),"",IF((K102="met")=(H102="met"),1,0))</f>
        <v/>
      </c>
      <c r="O102" s="2">
        <f>IF(OR(L102="",H102=""),"",IF((L102="met")=(H102="met"),1,0))</f>
        <v/>
      </c>
      <c r="P102" s="2">
        <f>IF(OR(M102="",H102=""),"",IF((M102="met")=(H102="met"),1,0))</f>
        <v/>
      </c>
    </row>
    <row r="103">
      <c r="A103" s="2" t="inlineStr">
        <is>
          <t>A14-06</t>
        </is>
      </c>
      <c r="B103" s="2">
        <f>Key!B103</f>
        <v/>
      </c>
      <c r="C103" s="2">
        <f>Key!C103</f>
        <v/>
      </c>
      <c r="D103" s="2">
        <f>IF(Key!D103="","",Key!D103)</f>
        <v/>
      </c>
      <c r="E103" s="2">
        <f>IF(Label_Answers!F103="","",Label_Answers!F103)</f>
        <v/>
      </c>
      <c r="F103" s="2">
        <f>IF(Label_Answers!G103="","",Label_Answers!G103)</f>
        <v/>
      </c>
      <c r="G103" s="5" t="n"/>
      <c r="H103" s="2">
        <f>IF(G103&lt;&gt;"",G103,IF(AND(E103&lt;&gt;"",E103=F103,E103&lt;&gt;"unsure"),E103,""))</f>
        <v/>
      </c>
      <c r="I103" s="2">
        <f>IF(AND(OR(E103="met",E103="not_met"),OR(F103="met",F103="not_met")),1,0)</f>
        <v/>
      </c>
      <c r="J103" s="2">
        <f>IF(I103=1,IF(E103=F103,1,0),"")</f>
        <v/>
      </c>
      <c r="K103" s="2" t="n"/>
      <c r="L103" s="2" t="n"/>
      <c r="M103" s="2" t="n"/>
      <c r="N103" s="2">
        <f>IF(OR(K103="",H103=""),"",IF((K103="met")=(H103="met"),1,0))</f>
        <v/>
      </c>
      <c r="O103" s="2">
        <f>IF(OR(L103="",H103=""),"",IF((L103="met")=(H103="met"),1,0))</f>
        <v/>
      </c>
      <c r="P103" s="2">
        <f>IF(OR(M103="",H103=""),"",IF((M103="met")=(H103="met"),1,0))</f>
        <v/>
      </c>
    </row>
    <row r="104">
      <c r="A104" s="2" t="inlineStr">
        <is>
          <t>A14-07</t>
        </is>
      </c>
      <c r="B104" s="2">
        <f>Key!B104</f>
        <v/>
      </c>
      <c r="C104" s="2">
        <f>Key!C104</f>
        <v/>
      </c>
      <c r="D104" s="2">
        <f>IF(Key!D104="","",Key!D104)</f>
        <v/>
      </c>
      <c r="E104" s="2">
        <f>IF(Label_Answers!F104="","",Label_Answers!F104)</f>
        <v/>
      </c>
      <c r="F104" s="2">
        <f>IF(Label_Answers!G104="","",Label_Answers!G104)</f>
        <v/>
      </c>
      <c r="G104" s="5" t="n"/>
      <c r="H104" s="2">
        <f>IF(G104&lt;&gt;"",G104,IF(AND(E104&lt;&gt;"",E104=F104,E104&lt;&gt;"unsure"),E104,""))</f>
        <v/>
      </c>
      <c r="I104" s="2">
        <f>IF(AND(OR(E104="met",E104="not_met"),OR(F104="met",F104="not_met")),1,0)</f>
        <v/>
      </c>
      <c r="J104" s="2">
        <f>IF(I104=1,IF(E104=F104,1,0),"")</f>
        <v/>
      </c>
      <c r="K104" s="2" t="n"/>
      <c r="L104" s="2" t="n"/>
      <c r="M104" s="2" t="n"/>
      <c r="N104" s="2">
        <f>IF(OR(K104="",H104=""),"",IF((K104="met")=(H104="met"),1,0))</f>
        <v/>
      </c>
      <c r="O104" s="2">
        <f>IF(OR(L104="",H104=""),"",IF((L104="met")=(H104="met"),1,0))</f>
        <v/>
      </c>
      <c r="P104" s="2">
        <f>IF(OR(M104="",H104=""),"",IF((M104="met")=(H104="met"),1,0))</f>
        <v/>
      </c>
    </row>
    <row r="105">
      <c r="A105" s="2" t="inlineStr">
        <is>
          <t>A15-01</t>
        </is>
      </c>
      <c r="B105" s="2">
        <f>Key!B105</f>
        <v/>
      </c>
      <c r="C105" s="2">
        <f>Key!C105</f>
        <v/>
      </c>
      <c r="D105" s="2">
        <f>IF(Key!D105="","",Key!D105)</f>
        <v/>
      </c>
      <c r="E105" s="2">
        <f>IF(Label_Answers!F105="","",Label_Answers!F105)</f>
        <v/>
      </c>
      <c r="F105" s="2">
        <f>IF(Label_Answers!G105="","",Label_Answers!G105)</f>
        <v/>
      </c>
      <c r="G105" s="5" t="n"/>
      <c r="H105" s="2">
        <f>IF(G105&lt;&gt;"",G105,IF(AND(E105&lt;&gt;"",E105=F105,E105&lt;&gt;"unsure"),E105,""))</f>
        <v/>
      </c>
      <c r="I105" s="2">
        <f>IF(AND(OR(E105="met",E105="not_met"),OR(F105="met",F105="not_met")),1,0)</f>
        <v/>
      </c>
      <c r="J105" s="2">
        <f>IF(I105=1,IF(E105=F105,1,0),"")</f>
        <v/>
      </c>
      <c r="K105" s="2" t="n"/>
      <c r="L105" s="2" t="n"/>
      <c r="M105" s="2" t="n"/>
      <c r="N105" s="2">
        <f>IF(OR(K105="",H105=""),"",IF((K105="met")=(H105="met"),1,0))</f>
        <v/>
      </c>
      <c r="O105" s="2">
        <f>IF(OR(L105="",H105=""),"",IF((L105="met")=(H105="met"),1,0))</f>
        <v/>
      </c>
      <c r="P105" s="2">
        <f>IF(OR(M105="",H105=""),"",IF((M105="met")=(H105="met"),1,0))</f>
        <v/>
      </c>
    </row>
    <row r="106">
      <c r="A106" s="2" t="inlineStr">
        <is>
          <t>A15-02</t>
        </is>
      </c>
      <c r="B106" s="2">
        <f>Key!B106</f>
        <v/>
      </c>
      <c r="C106" s="2">
        <f>Key!C106</f>
        <v/>
      </c>
      <c r="D106" s="2">
        <f>IF(Key!D106="","",Key!D106)</f>
        <v/>
      </c>
      <c r="E106" s="2">
        <f>IF(Label_Answers!F106="","",Label_Answers!F106)</f>
        <v/>
      </c>
      <c r="F106" s="2">
        <f>IF(Label_Answers!G106="","",Label_Answers!G106)</f>
        <v/>
      </c>
      <c r="G106" s="5" t="n"/>
      <c r="H106" s="2">
        <f>IF(G106&lt;&gt;"",G106,IF(AND(E106&lt;&gt;"",E106=F106,E106&lt;&gt;"unsure"),E106,""))</f>
        <v/>
      </c>
      <c r="I106" s="2">
        <f>IF(AND(OR(E106="met",E106="not_met"),OR(F106="met",F106="not_met")),1,0)</f>
        <v/>
      </c>
      <c r="J106" s="2">
        <f>IF(I106=1,IF(E106=F106,1,0),"")</f>
        <v/>
      </c>
      <c r="K106" s="2" t="n"/>
      <c r="L106" s="2" t="n"/>
      <c r="M106" s="2" t="n"/>
      <c r="N106" s="2">
        <f>IF(OR(K106="",H106=""),"",IF((K106="met")=(H106="met"),1,0))</f>
        <v/>
      </c>
      <c r="O106" s="2">
        <f>IF(OR(L106="",H106=""),"",IF((L106="met")=(H106="met"),1,0))</f>
        <v/>
      </c>
      <c r="P106" s="2">
        <f>IF(OR(M106="",H106=""),"",IF((M106="met")=(H106="met"),1,0))</f>
        <v/>
      </c>
    </row>
    <row r="107">
      <c r="A107" s="2" t="inlineStr">
        <is>
          <t>A15-03</t>
        </is>
      </c>
      <c r="B107" s="2">
        <f>Key!B107</f>
        <v/>
      </c>
      <c r="C107" s="2">
        <f>Key!C107</f>
        <v/>
      </c>
      <c r="D107" s="2">
        <f>IF(Key!D107="","",Key!D107)</f>
        <v/>
      </c>
      <c r="E107" s="2">
        <f>IF(Label_Answers!F107="","",Label_Answers!F107)</f>
        <v/>
      </c>
      <c r="F107" s="2">
        <f>IF(Label_Answers!G107="","",Label_Answers!G107)</f>
        <v/>
      </c>
      <c r="G107" s="5" t="n"/>
      <c r="H107" s="2">
        <f>IF(G107&lt;&gt;"",G107,IF(AND(E107&lt;&gt;"",E107=F107,E107&lt;&gt;"unsure"),E107,""))</f>
        <v/>
      </c>
      <c r="I107" s="2">
        <f>IF(AND(OR(E107="met",E107="not_met"),OR(F107="met",F107="not_met")),1,0)</f>
        <v/>
      </c>
      <c r="J107" s="2">
        <f>IF(I107=1,IF(E107=F107,1,0),"")</f>
        <v/>
      </c>
      <c r="K107" s="2" t="n"/>
      <c r="L107" s="2" t="n"/>
      <c r="M107" s="2" t="n"/>
      <c r="N107" s="2">
        <f>IF(OR(K107="",H107=""),"",IF((K107="met")=(H107="met"),1,0))</f>
        <v/>
      </c>
      <c r="O107" s="2">
        <f>IF(OR(L107="",H107=""),"",IF((L107="met")=(H107="met"),1,0))</f>
        <v/>
      </c>
      <c r="P107" s="2">
        <f>IF(OR(M107="",H107=""),"",IF((M107="met")=(H107="met"),1,0))</f>
        <v/>
      </c>
    </row>
    <row r="108">
      <c r="A108" s="2" t="inlineStr">
        <is>
          <t>A15-04</t>
        </is>
      </c>
      <c r="B108" s="2">
        <f>Key!B108</f>
        <v/>
      </c>
      <c r="C108" s="2">
        <f>Key!C108</f>
        <v/>
      </c>
      <c r="D108" s="2">
        <f>IF(Key!D108="","",Key!D108)</f>
        <v/>
      </c>
      <c r="E108" s="2">
        <f>IF(Label_Answers!F108="","",Label_Answers!F108)</f>
        <v/>
      </c>
      <c r="F108" s="2">
        <f>IF(Label_Answers!G108="","",Label_Answers!G108)</f>
        <v/>
      </c>
      <c r="G108" s="5" t="n"/>
      <c r="H108" s="2">
        <f>IF(G108&lt;&gt;"",G108,IF(AND(E108&lt;&gt;"",E108=F108,E108&lt;&gt;"unsure"),E108,""))</f>
        <v/>
      </c>
      <c r="I108" s="2">
        <f>IF(AND(OR(E108="met",E108="not_met"),OR(F108="met",F108="not_met")),1,0)</f>
        <v/>
      </c>
      <c r="J108" s="2">
        <f>IF(I108=1,IF(E108=F108,1,0),"")</f>
        <v/>
      </c>
      <c r="K108" s="2" t="n"/>
      <c r="L108" s="2" t="n"/>
      <c r="M108" s="2" t="n"/>
      <c r="N108" s="2">
        <f>IF(OR(K108="",H108=""),"",IF((K108="met")=(H108="met"),1,0))</f>
        <v/>
      </c>
      <c r="O108" s="2">
        <f>IF(OR(L108="",H108=""),"",IF((L108="met")=(H108="met"),1,0))</f>
        <v/>
      </c>
      <c r="P108" s="2">
        <f>IF(OR(M108="",H108=""),"",IF((M108="met")=(H108="met"),1,0))</f>
        <v/>
      </c>
    </row>
    <row r="109">
      <c r="A109" s="2" t="inlineStr">
        <is>
          <t>A15-05</t>
        </is>
      </c>
      <c r="B109" s="2">
        <f>Key!B109</f>
        <v/>
      </c>
      <c r="C109" s="2">
        <f>Key!C109</f>
        <v/>
      </c>
      <c r="D109" s="2">
        <f>IF(Key!D109="","",Key!D109)</f>
        <v/>
      </c>
      <c r="E109" s="2">
        <f>IF(Label_Answers!F109="","",Label_Answers!F109)</f>
        <v/>
      </c>
      <c r="F109" s="2">
        <f>IF(Label_Answers!G109="","",Label_Answers!G109)</f>
        <v/>
      </c>
      <c r="G109" s="5" t="n"/>
      <c r="H109" s="2">
        <f>IF(G109&lt;&gt;"",G109,IF(AND(E109&lt;&gt;"",E109=F109,E109&lt;&gt;"unsure"),E109,""))</f>
        <v/>
      </c>
      <c r="I109" s="2">
        <f>IF(AND(OR(E109="met",E109="not_met"),OR(F109="met",F109="not_met")),1,0)</f>
        <v/>
      </c>
      <c r="J109" s="2">
        <f>IF(I109=1,IF(E109=F109,1,0),"")</f>
        <v/>
      </c>
      <c r="K109" s="2" t="n"/>
      <c r="L109" s="2" t="n"/>
      <c r="M109" s="2" t="n"/>
      <c r="N109" s="2">
        <f>IF(OR(K109="",H109=""),"",IF((K109="met")=(H109="met"),1,0))</f>
        <v/>
      </c>
      <c r="O109" s="2">
        <f>IF(OR(L109="",H109=""),"",IF((L109="met")=(H109="met"),1,0))</f>
        <v/>
      </c>
      <c r="P109" s="2">
        <f>IF(OR(M109="",H109=""),"",IF((M109="met")=(H109="met"),1,0))</f>
        <v/>
      </c>
    </row>
    <row r="110">
      <c r="A110" s="2" t="inlineStr">
        <is>
          <t>A15-06</t>
        </is>
      </c>
      <c r="B110" s="2">
        <f>Key!B110</f>
        <v/>
      </c>
      <c r="C110" s="2">
        <f>Key!C110</f>
        <v/>
      </c>
      <c r="D110" s="2">
        <f>IF(Key!D110="","",Key!D110)</f>
        <v/>
      </c>
      <c r="E110" s="2">
        <f>IF(Label_Answers!F110="","",Label_Answers!F110)</f>
        <v/>
      </c>
      <c r="F110" s="2">
        <f>IF(Label_Answers!G110="","",Label_Answers!G110)</f>
        <v/>
      </c>
      <c r="G110" s="5" t="n"/>
      <c r="H110" s="2">
        <f>IF(G110&lt;&gt;"",G110,IF(AND(E110&lt;&gt;"",E110=F110,E110&lt;&gt;"unsure"),E110,""))</f>
        <v/>
      </c>
      <c r="I110" s="2">
        <f>IF(AND(OR(E110="met",E110="not_met"),OR(F110="met",F110="not_met")),1,0)</f>
        <v/>
      </c>
      <c r="J110" s="2">
        <f>IF(I110=1,IF(E110=F110,1,0),"")</f>
        <v/>
      </c>
      <c r="K110" s="2" t="n"/>
      <c r="L110" s="2" t="n"/>
      <c r="M110" s="2" t="n"/>
      <c r="N110" s="2">
        <f>IF(OR(K110="",H110=""),"",IF((K110="met")=(H110="met"),1,0))</f>
        <v/>
      </c>
      <c r="O110" s="2">
        <f>IF(OR(L110="",H110=""),"",IF((L110="met")=(H110="met"),1,0))</f>
        <v/>
      </c>
      <c r="P110" s="2">
        <f>IF(OR(M110="",H110=""),"",IF((M110="met")=(H110="met"),1,0))</f>
        <v/>
      </c>
    </row>
    <row r="111">
      <c r="A111" s="2" t="inlineStr">
        <is>
          <t>A15-07</t>
        </is>
      </c>
      <c r="B111" s="2">
        <f>Key!B111</f>
        <v/>
      </c>
      <c r="C111" s="2">
        <f>Key!C111</f>
        <v/>
      </c>
      <c r="D111" s="2">
        <f>IF(Key!D111="","",Key!D111)</f>
        <v/>
      </c>
      <c r="E111" s="2">
        <f>IF(Label_Answers!F111="","",Label_Answers!F111)</f>
        <v/>
      </c>
      <c r="F111" s="2">
        <f>IF(Label_Answers!G111="","",Label_Answers!G111)</f>
        <v/>
      </c>
      <c r="G111" s="5" t="n"/>
      <c r="H111" s="2">
        <f>IF(G111&lt;&gt;"",G111,IF(AND(E111&lt;&gt;"",E111=F111,E111&lt;&gt;"unsure"),E111,""))</f>
        <v/>
      </c>
      <c r="I111" s="2">
        <f>IF(AND(OR(E111="met",E111="not_met"),OR(F111="met",F111="not_met")),1,0)</f>
        <v/>
      </c>
      <c r="J111" s="2">
        <f>IF(I111=1,IF(E111=F111,1,0),"")</f>
        <v/>
      </c>
      <c r="K111" s="2" t="n"/>
      <c r="L111" s="2" t="n"/>
      <c r="M111" s="2" t="n"/>
      <c r="N111" s="2">
        <f>IF(OR(K111="",H111=""),"",IF((K111="met")=(H111="met"),1,0))</f>
        <v/>
      </c>
      <c r="O111" s="2">
        <f>IF(OR(L111="",H111=""),"",IF((L111="met")=(H111="met"),1,0))</f>
        <v/>
      </c>
      <c r="P111" s="2">
        <f>IF(OR(M111="",H111=""),"",IF((M111="met")=(H111="met"),1,0))</f>
        <v/>
      </c>
    </row>
    <row r="112">
      <c r="A112" s="2" t="inlineStr">
        <is>
          <t>A16-01</t>
        </is>
      </c>
      <c r="B112" s="2">
        <f>Key!B112</f>
        <v/>
      </c>
      <c r="C112" s="2">
        <f>Key!C112</f>
        <v/>
      </c>
      <c r="D112" s="2">
        <f>IF(Key!D112="","",Key!D112)</f>
        <v/>
      </c>
      <c r="E112" s="2">
        <f>IF(Label_Answers!F112="","",Label_Answers!F112)</f>
        <v/>
      </c>
      <c r="F112" s="2">
        <f>IF(Label_Answers!G112="","",Label_Answers!G112)</f>
        <v/>
      </c>
      <c r="G112" s="5" t="n"/>
      <c r="H112" s="2">
        <f>IF(G112&lt;&gt;"",G112,IF(AND(E112&lt;&gt;"",E112=F112,E112&lt;&gt;"unsure"),E112,""))</f>
        <v/>
      </c>
      <c r="I112" s="2">
        <f>IF(AND(OR(E112="met",E112="not_met"),OR(F112="met",F112="not_met")),1,0)</f>
        <v/>
      </c>
      <c r="J112" s="2">
        <f>IF(I112=1,IF(E112=F112,1,0),"")</f>
        <v/>
      </c>
      <c r="K112" s="2" t="n"/>
      <c r="L112" s="2" t="n"/>
      <c r="M112" s="2" t="n"/>
      <c r="N112" s="2">
        <f>IF(OR(K112="",H112=""),"",IF((K112="met")=(H112="met"),1,0))</f>
        <v/>
      </c>
      <c r="O112" s="2">
        <f>IF(OR(L112="",H112=""),"",IF((L112="met")=(H112="met"),1,0))</f>
        <v/>
      </c>
      <c r="P112" s="2">
        <f>IF(OR(M112="",H112=""),"",IF((M112="met")=(H112="met"),1,0))</f>
        <v/>
      </c>
    </row>
    <row r="113">
      <c r="A113" s="2" t="inlineStr">
        <is>
          <t>A16-02</t>
        </is>
      </c>
      <c r="B113" s="2">
        <f>Key!B113</f>
        <v/>
      </c>
      <c r="C113" s="2">
        <f>Key!C113</f>
        <v/>
      </c>
      <c r="D113" s="2">
        <f>IF(Key!D113="","",Key!D113)</f>
        <v/>
      </c>
      <c r="E113" s="2">
        <f>IF(Label_Answers!F113="","",Label_Answers!F113)</f>
        <v/>
      </c>
      <c r="F113" s="2">
        <f>IF(Label_Answers!G113="","",Label_Answers!G113)</f>
        <v/>
      </c>
      <c r="G113" s="5" t="n"/>
      <c r="H113" s="2">
        <f>IF(G113&lt;&gt;"",G113,IF(AND(E113&lt;&gt;"",E113=F113,E113&lt;&gt;"unsure"),E113,""))</f>
        <v/>
      </c>
      <c r="I113" s="2">
        <f>IF(AND(OR(E113="met",E113="not_met"),OR(F113="met",F113="not_met")),1,0)</f>
        <v/>
      </c>
      <c r="J113" s="2">
        <f>IF(I113=1,IF(E113=F113,1,0),"")</f>
        <v/>
      </c>
      <c r="K113" s="2" t="n"/>
      <c r="L113" s="2" t="n"/>
      <c r="M113" s="2" t="n"/>
      <c r="N113" s="2">
        <f>IF(OR(K113="",H113=""),"",IF((K113="met")=(H113="met"),1,0))</f>
        <v/>
      </c>
      <c r="O113" s="2">
        <f>IF(OR(L113="",H113=""),"",IF((L113="met")=(H113="met"),1,0))</f>
        <v/>
      </c>
      <c r="P113" s="2">
        <f>IF(OR(M113="",H113=""),"",IF((M113="met")=(H113="met"),1,0))</f>
        <v/>
      </c>
    </row>
    <row r="114">
      <c r="A114" s="2" t="inlineStr">
        <is>
          <t>A16-03</t>
        </is>
      </c>
      <c r="B114" s="2">
        <f>Key!B114</f>
        <v/>
      </c>
      <c r="C114" s="2">
        <f>Key!C114</f>
        <v/>
      </c>
      <c r="D114" s="2">
        <f>IF(Key!D114="","",Key!D114)</f>
        <v/>
      </c>
      <c r="E114" s="2">
        <f>IF(Label_Answers!F114="","",Label_Answers!F114)</f>
        <v/>
      </c>
      <c r="F114" s="2">
        <f>IF(Label_Answers!G114="","",Label_Answers!G114)</f>
        <v/>
      </c>
      <c r="G114" s="5" t="n"/>
      <c r="H114" s="2">
        <f>IF(G114&lt;&gt;"",G114,IF(AND(E114&lt;&gt;"",E114=F114,E114&lt;&gt;"unsure"),E114,""))</f>
        <v/>
      </c>
      <c r="I114" s="2">
        <f>IF(AND(OR(E114="met",E114="not_met"),OR(F114="met",F114="not_met")),1,0)</f>
        <v/>
      </c>
      <c r="J114" s="2">
        <f>IF(I114=1,IF(E114=F114,1,0),"")</f>
        <v/>
      </c>
      <c r="K114" s="2" t="n"/>
      <c r="L114" s="2" t="n"/>
      <c r="M114" s="2" t="n"/>
      <c r="N114" s="2">
        <f>IF(OR(K114="",H114=""),"",IF((K114="met")=(H114="met"),1,0))</f>
        <v/>
      </c>
      <c r="O114" s="2">
        <f>IF(OR(L114="",H114=""),"",IF((L114="met")=(H114="met"),1,0))</f>
        <v/>
      </c>
      <c r="P114" s="2">
        <f>IF(OR(M114="",H114=""),"",IF((M114="met")=(H114="met"),1,0))</f>
        <v/>
      </c>
    </row>
    <row r="115">
      <c r="A115" s="2" t="inlineStr">
        <is>
          <t>A16-04</t>
        </is>
      </c>
      <c r="B115" s="2">
        <f>Key!B115</f>
        <v/>
      </c>
      <c r="C115" s="2">
        <f>Key!C115</f>
        <v/>
      </c>
      <c r="D115" s="2">
        <f>IF(Key!D115="","",Key!D115)</f>
        <v/>
      </c>
      <c r="E115" s="2">
        <f>IF(Label_Answers!F115="","",Label_Answers!F115)</f>
        <v/>
      </c>
      <c r="F115" s="2">
        <f>IF(Label_Answers!G115="","",Label_Answers!G115)</f>
        <v/>
      </c>
      <c r="G115" s="5" t="n"/>
      <c r="H115" s="2">
        <f>IF(G115&lt;&gt;"",G115,IF(AND(E115&lt;&gt;"",E115=F115,E115&lt;&gt;"unsure"),E115,""))</f>
        <v/>
      </c>
      <c r="I115" s="2">
        <f>IF(AND(OR(E115="met",E115="not_met"),OR(F115="met",F115="not_met")),1,0)</f>
        <v/>
      </c>
      <c r="J115" s="2">
        <f>IF(I115=1,IF(E115=F115,1,0),"")</f>
        <v/>
      </c>
      <c r="K115" s="2" t="n"/>
      <c r="L115" s="2" t="n"/>
      <c r="M115" s="2" t="n"/>
      <c r="N115" s="2">
        <f>IF(OR(K115="",H115=""),"",IF((K115="met")=(H115="met"),1,0))</f>
        <v/>
      </c>
      <c r="O115" s="2">
        <f>IF(OR(L115="",H115=""),"",IF((L115="met")=(H115="met"),1,0))</f>
        <v/>
      </c>
      <c r="P115" s="2">
        <f>IF(OR(M115="",H115=""),"",IF((M115="met")=(H115="met"),1,0))</f>
        <v/>
      </c>
    </row>
    <row r="116">
      <c r="A116" s="2" t="inlineStr">
        <is>
          <t>A16-05</t>
        </is>
      </c>
      <c r="B116" s="2">
        <f>Key!B116</f>
        <v/>
      </c>
      <c r="C116" s="2">
        <f>Key!C116</f>
        <v/>
      </c>
      <c r="D116" s="2">
        <f>IF(Key!D116="","",Key!D116)</f>
        <v/>
      </c>
      <c r="E116" s="2">
        <f>IF(Label_Answers!F116="","",Label_Answers!F116)</f>
        <v/>
      </c>
      <c r="F116" s="2">
        <f>IF(Label_Answers!G116="","",Label_Answers!G116)</f>
        <v/>
      </c>
      <c r="G116" s="5" t="n"/>
      <c r="H116" s="2">
        <f>IF(G116&lt;&gt;"",G116,IF(AND(E116&lt;&gt;"",E116=F116,E116&lt;&gt;"unsure"),E116,""))</f>
        <v/>
      </c>
      <c r="I116" s="2">
        <f>IF(AND(OR(E116="met",E116="not_met"),OR(F116="met",F116="not_met")),1,0)</f>
        <v/>
      </c>
      <c r="J116" s="2">
        <f>IF(I116=1,IF(E116=F116,1,0),"")</f>
        <v/>
      </c>
      <c r="K116" s="2" t="n"/>
      <c r="L116" s="2" t="n"/>
      <c r="M116" s="2" t="n"/>
      <c r="N116" s="2">
        <f>IF(OR(K116="",H116=""),"",IF((K116="met")=(H116="met"),1,0))</f>
        <v/>
      </c>
      <c r="O116" s="2">
        <f>IF(OR(L116="",H116=""),"",IF((L116="met")=(H116="met"),1,0))</f>
        <v/>
      </c>
      <c r="P116" s="2">
        <f>IF(OR(M116="",H116=""),"",IF((M116="met")=(H116="met"),1,0))</f>
        <v/>
      </c>
    </row>
    <row r="117">
      <c r="A117" s="2" t="inlineStr">
        <is>
          <t>A16-06</t>
        </is>
      </c>
      <c r="B117" s="2">
        <f>Key!B117</f>
        <v/>
      </c>
      <c r="C117" s="2">
        <f>Key!C117</f>
        <v/>
      </c>
      <c r="D117" s="2">
        <f>IF(Key!D117="","",Key!D117)</f>
        <v/>
      </c>
      <c r="E117" s="2">
        <f>IF(Label_Answers!F117="","",Label_Answers!F117)</f>
        <v/>
      </c>
      <c r="F117" s="2">
        <f>IF(Label_Answers!G117="","",Label_Answers!G117)</f>
        <v/>
      </c>
      <c r="G117" s="5" t="n"/>
      <c r="H117" s="2">
        <f>IF(G117&lt;&gt;"",G117,IF(AND(E117&lt;&gt;"",E117=F117,E117&lt;&gt;"unsure"),E117,""))</f>
        <v/>
      </c>
      <c r="I117" s="2">
        <f>IF(AND(OR(E117="met",E117="not_met"),OR(F117="met",F117="not_met")),1,0)</f>
        <v/>
      </c>
      <c r="J117" s="2">
        <f>IF(I117=1,IF(E117=F117,1,0),"")</f>
        <v/>
      </c>
      <c r="K117" s="2" t="n"/>
      <c r="L117" s="2" t="n"/>
      <c r="M117" s="2" t="n"/>
      <c r="N117" s="2">
        <f>IF(OR(K117="",H117=""),"",IF((K117="met")=(H117="met"),1,0))</f>
        <v/>
      </c>
      <c r="O117" s="2">
        <f>IF(OR(L117="",H117=""),"",IF((L117="met")=(H117="met"),1,0))</f>
        <v/>
      </c>
      <c r="P117" s="2">
        <f>IF(OR(M117="",H117=""),"",IF((M117="met")=(H117="met"),1,0))</f>
        <v/>
      </c>
    </row>
    <row r="118">
      <c r="A118" s="2" t="inlineStr">
        <is>
          <t>A16-07</t>
        </is>
      </c>
      <c r="B118" s="2">
        <f>Key!B118</f>
        <v/>
      </c>
      <c r="C118" s="2">
        <f>Key!C118</f>
        <v/>
      </c>
      <c r="D118" s="2">
        <f>IF(Key!D118="","",Key!D118)</f>
        <v/>
      </c>
      <c r="E118" s="2">
        <f>IF(Label_Answers!F118="","",Label_Answers!F118)</f>
        <v/>
      </c>
      <c r="F118" s="2">
        <f>IF(Label_Answers!G118="","",Label_Answers!G118)</f>
        <v/>
      </c>
      <c r="G118" s="5" t="n"/>
      <c r="H118" s="2">
        <f>IF(G118&lt;&gt;"",G118,IF(AND(E118&lt;&gt;"",E118=F118,E118&lt;&gt;"unsure"),E118,""))</f>
        <v/>
      </c>
      <c r="I118" s="2">
        <f>IF(AND(OR(E118="met",E118="not_met"),OR(F118="met",F118="not_met")),1,0)</f>
        <v/>
      </c>
      <c r="J118" s="2">
        <f>IF(I118=1,IF(E118=F118,1,0),"")</f>
        <v/>
      </c>
      <c r="K118" s="2" t="n"/>
      <c r="L118" s="2" t="n"/>
      <c r="M118" s="2" t="n"/>
      <c r="N118" s="2">
        <f>IF(OR(K118="",H118=""),"",IF((K118="met")=(H118="met"),1,0))</f>
        <v/>
      </c>
      <c r="O118" s="2">
        <f>IF(OR(L118="",H118=""),"",IF((L118="met")=(H118="met"),1,0))</f>
        <v/>
      </c>
      <c r="P118" s="2">
        <f>IF(OR(M118="",H118=""),"",IF((M118="met")=(H118="met"),1,0))</f>
        <v/>
      </c>
    </row>
    <row r="119">
      <c r="A119" s="2" t="inlineStr">
        <is>
          <t>C01-01</t>
        </is>
      </c>
      <c r="B119" s="2">
        <f>Key!B119</f>
        <v/>
      </c>
      <c r="C119" s="2">
        <f>Key!C119</f>
        <v/>
      </c>
      <c r="D119" s="2">
        <f>IF(Key!D119="","",Key!D119)</f>
        <v/>
      </c>
      <c r="E119" s="2">
        <f>IF(Label_ChatGPT!F2="","",Label_ChatGPT!F2)</f>
        <v/>
      </c>
      <c r="F119" s="2">
        <f>IF(Label_ChatGPT!G2="","",Label_ChatGPT!G2)</f>
        <v/>
      </c>
      <c r="G119" s="5" t="n"/>
      <c r="H119" s="2">
        <f>IF(G119&lt;&gt;"",G119,IF(AND(E119&lt;&gt;"",E119=F119,E119&lt;&gt;"unsure"),E119,""))</f>
        <v/>
      </c>
      <c r="I119" s="2">
        <f>IF(AND(OR(E119="met",E119="not_met"),OR(F119="met",F119="not_met")),1,0)</f>
        <v/>
      </c>
      <c r="J119" s="2">
        <f>IF(I119=1,IF(E119=F119,1,0),"")</f>
        <v/>
      </c>
      <c r="K119" s="2" t="n"/>
      <c r="L119" s="2" t="n"/>
      <c r="M119" s="2" t="n"/>
      <c r="N119" s="2">
        <f>IF(OR(K119="",H119=""),"",IF((K119="met")=(H119="met"),1,0))</f>
        <v/>
      </c>
      <c r="O119" s="2">
        <f>IF(OR(L119="",H119=""),"",IF((L119="met")=(H119="met"),1,0))</f>
        <v/>
      </c>
      <c r="P119" s="2">
        <f>IF(OR(M119="",H119=""),"",IF((M119="met")=(H119="met"),1,0))</f>
        <v/>
      </c>
    </row>
    <row r="120">
      <c r="A120" s="2" t="inlineStr">
        <is>
          <t>C01-02</t>
        </is>
      </c>
      <c r="B120" s="2">
        <f>Key!B120</f>
        <v/>
      </c>
      <c r="C120" s="2">
        <f>Key!C120</f>
        <v/>
      </c>
      <c r="D120" s="2">
        <f>IF(Key!D120="","",Key!D120)</f>
        <v/>
      </c>
      <c r="E120" s="2">
        <f>IF(Label_ChatGPT!F3="","",Label_ChatGPT!F3)</f>
        <v/>
      </c>
      <c r="F120" s="2">
        <f>IF(Label_ChatGPT!G3="","",Label_ChatGPT!G3)</f>
        <v/>
      </c>
      <c r="G120" s="5" t="n"/>
      <c r="H120" s="2">
        <f>IF(G120&lt;&gt;"",G120,IF(AND(E120&lt;&gt;"",E120=F120,E120&lt;&gt;"unsure"),E120,""))</f>
        <v/>
      </c>
      <c r="I120" s="2">
        <f>IF(AND(OR(E120="met",E120="not_met"),OR(F120="met",F120="not_met")),1,0)</f>
        <v/>
      </c>
      <c r="J120" s="2">
        <f>IF(I120=1,IF(E120=F120,1,0),"")</f>
        <v/>
      </c>
      <c r="K120" s="2" t="n"/>
      <c r="L120" s="2" t="n"/>
      <c r="M120" s="2" t="n"/>
      <c r="N120" s="2">
        <f>IF(OR(K120="",H120=""),"",IF((K120="met")=(H120="met"),1,0))</f>
        <v/>
      </c>
      <c r="O120" s="2">
        <f>IF(OR(L120="",H120=""),"",IF((L120="met")=(H120="met"),1,0))</f>
        <v/>
      </c>
      <c r="P120" s="2">
        <f>IF(OR(M120="",H120=""),"",IF((M120="met")=(H120="met"),1,0))</f>
        <v/>
      </c>
    </row>
    <row r="121">
      <c r="A121" s="2" t="inlineStr">
        <is>
          <t>C01-03</t>
        </is>
      </c>
      <c r="B121" s="2">
        <f>Key!B121</f>
        <v/>
      </c>
      <c r="C121" s="2">
        <f>Key!C121</f>
        <v/>
      </c>
      <c r="D121" s="2">
        <f>IF(Key!D121="","",Key!D121)</f>
        <v/>
      </c>
      <c r="E121" s="2">
        <f>IF(Label_ChatGPT!F4="","",Label_ChatGPT!F4)</f>
        <v/>
      </c>
      <c r="F121" s="2">
        <f>IF(Label_ChatGPT!G4="","",Label_ChatGPT!G4)</f>
        <v/>
      </c>
      <c r="G121" s="5" t="n"/>
      <c r="H121" s="2">
        <f>IF(G121&lt;&gt;"",G121,IF(AND(E121&lt;&gt;"",E121=F121,E121&lt;&gt;"unsure"),E121,""))</f>
        <v/>
      </c>
      <c r="I121" s="2">
        <f>IF(AND(OR(E121="met",E121="not_met"),OR(F121="met",F121="not_met")),1,0)</f>
        <v/>
      </c>
      <c r="J121" s="2">
        <f>IF(I121=1,IF(E121=F121,1,0),"")</f>
        <v/>
      </c>
      <c r="K121" s="2" t="n"/>
      <c r="L121" s="2" t="n"/>
      <c r="M121" s="2" t="n"/>
      <c r="N121" s="2">
        <f>IF(OR(K121="",H121=""),"",IF((K121="met")=(H121="met"),1,0))</f>
        <v/>
      </c>
      <c r="O121" s="2">
        <f>IF(OR(L121="",H121=""),"",IF((L121="met")=(H121="met"),1,0))</f>
        <v/>
      </c>
      <c r="P121" s="2">
        <f>IF(OR(M121="",H121=""),"",IF((M121="met")=(H121="met"),1,0))</f>
        <v/>
      </c>
    </row>
    <row r="122">
      <c r="A122" s="2" t="inlineStr">
        <is>
          <t>C01-04</t>
        </is>
      </c>
      <c r="B122" s="2">
        <f>Key!B122</f>
        <v/>
      </c>
      <c r="C122" s="2">
        <f>Key!C122</f>
        <v/>
      </c>
      <c r="D122" s="2">
        <f>IF(Key!D122="","",Key!D122)</f>
        <v/>
      </c>
      <c r="E122" s="2">
        <f>IF(Label_ChatGPT!F5="","",Label_ChatGPT!F5)</f>
        <v/>
      </c>
      <c r="F122" s="2">
        <f>IF(Label_ChatGPT!G5="","",Label_ChatGPT!G5)</f>
        <v/>
      </c>
      <c r="G122" s="5" t="n"/>
      <c r="H122" s="2">
        <f>IF(G122&lt;&gt;"",G122,IF(AND(E122&lt;&gt;"",E122=F122,E122&lt;&gt;"unsure"),E122,""))</f>
        <v/>
      </c>
      <c r="I122" s="2">
        <f>IF(AND(OR(E122="met",E122="not_met"),OR(F122="met",F122="not_met")),1,0)</f>
        <v/>
      </c>
      <c r="J122" s="2">
        <f>IF(I122=1,IF(E122=F122,1,0),"")</f>
        <v/>
      </c>
      <c r="K122" s="2" t="n"/>
      <c r="L122" s="2" t="n"/>
      <c r="M122" s="2" t="n"/>
      <c r="N122" s="2">
        <f>IF(OR(K122="",H122=""),"",IF((K122="met")=(H122="met"),1,0))</f>
        <v/>
      </c>
      <c r="O122" s="2">
        <f>IF(OR(L122="",H122=""),"",IF((L122="met")=(H122="met"),1,0))</f>
        <v/>
      </c>
      <c r="P122" s="2">
        <f>IF(OR(M122="",H122=""),"",IF((M122="met")=(H122="met"),1,0))</f>
        <v/>
      </c>
    </row>
    <row r="123">
      <c r="A123" s="2" t="inlineStr">
        <is>
          <t>C01-05</t>
        </is>
      </c>
      <c r="B123" s="2">
        <f>Key!B123</f>
        <v/>
      </c>
      <c r="C123" s="2">
        <f>Key!C123</f>
        <v/>
      </c>
      <c r="D123" s="2">
        <f>IF(Key!D123="","",Key!D123)</f>
        <v/>
      </c>
      <c r="E123" s="2">
        <f>IF(Label_ChatGPT!F6="","",Label_ChatGPT!F6)</f>
        <v/>
      </c>
      <c r="F123" s="2">
        <f>IF(Label_ChatGPT!G6="","",Label_ChatGPT!G6)</f>
        <v/>
      </c>
      <c r="G123" s="5" t="n"/>
      <c r="H123" s="2">
        <f>IF(G123&lt;&gt;"",G123,IF(AND(E123&lt;&gt;"",E123=F123,E123&lt;&gt;"unsure"),E123,""))</f>
        <v/>
      </c>
      <c r="I123" s="2">
        <f>IF(AND(OR(E123="met",E123="not_met"),OR(F123="met",F123="not_met")),1,0)</f>
        <v/>
      </c>
      <c r="J123" s="2">
        <f>IF(I123=1,IF(E123=F123,1,0),"")</f>
        <v/>
      </c>
      <c r="K123" s="2" t="n"/>
      <c r="L123" s="2" t="n"/>
      <c r="M123" s="2" t="n"/>
      <c r="N123" s="2">
        <f>IF(OR(K123="",H123=""),"",IF((K123="met")=(H123="met"),1,0))</f>
        <v/>
      </c>
      <c r="O123" s="2">
        <f>IF(OR(L123="",H123=""),"",IF((L123="met")=(H123="met"),1,0))</f>
        <v/>
      </c>
      <c r="P123" s="2">
        <f>IF(OR(M123="",H123=""),"",IF((M123="met")=(H123="met"),1,0))</f>
        <v/>
      </c>
    </row>
    <row r="124">
      <c r="A124" s="2" t="inlineStr">
        <is>
          <t>C01-06</t>
        </is>
      </c>
      <c r="B124" s="2">
        <f>Key!B124</f>
        <v/>
      </c>
      <c r="C124" s="2">
        <f>Key!C124</f>
        <v/>
      </c>
      <c r="D124" s="2">
        <f>IF(Key!D124="","",Key!D124)</f>
        <v/>
      </c>
      <c r="E124" s="2">
        <f>IF(Label_ChatGPT!F7="","",Label_ChatGPT!F7)</f>
        <v/>
      </c>
      <c r="F124" s="2">
        <f>IF(Label_ChatGPT!G7="","",Label_ChatGPT!G7)</f>
        <v/>
      </c>
      <c r="G124" s="5" t="n"/>
      <c r="H124" s="2">
        <f>IF(G124&lt;&gt;"",G124,IF(AND(E124&lt;&gt;"",E124=F124,E124&lt;&gt;"unsure"),E124,""))</f>
        <v/>
      </c>
      <c r="I124" s="2">
        <f>IF(AND(OR(E124="met",E124="not_met"),OR(F124="met",F124="not_met")),1,0)</f>
        <v/>
      </c>
      <c r="J124" s="2">
        <f>IF(I124=1,IF(E124=F124,1,0),"")</f>
        <v/>
      </c>
      <c r="K124" s="2" t="n"/>
      <c r="L124" s="2" t="n"/>
      <c r="M124" s="2" t="n"/>
      <c r="N124" s="2">
        <f>IF(OR(K124="",H124=""),"",IF((K124="met")=(H124="met"),1,0))</f>
        <v/>
      </c>
      <c r="O124" s="2">
        <f>IF(OR(L124="",H124=""),"",IF((L124="met")=(H124="met"),1,0))</f>
        <v/>
      </c>
      <c r="P124" s="2">
        <f>IF(OR(M124="",H124=""),"",IF((M124="met")=(H124="met"),1,0))</f>
        <v/>
      </c>
    </row>
    <row r="125">
      <c r="A125" s="2" t="inlineStr">
        <is>
          <t>C01-07</t>
        </is>
      </c>
      <c r="B125" s="2">
        <f>Key!B125</f>
        <v/>
      </c>
      <c r="C125" s="2">
        <f>Key!C125</f>
        <v/>
      </c>
      <c r="D125" s="2">
        <f>IF(Key!D125="","",Key!D125)</f>
        <v/>
      </c>
      <c r="E125" s="2">
        <f>IF(Label_ChatGPT!F8="","",Label_ChatGPT!F8)</f>
        <v/>
      </c>
      <c r="F125" s="2">
        <f>IF(Label_ChatGPT!G8="","",Label_ChatGPT!G8)</f>
        <v/>
      </c>
      <c r="G125" s="5" t="n"/>
      <c r="H125" s="2">
        <f>IF(G125&lt;&gt;"",G125,IF(AND(E125&lt;&gt;"",E125=F125,E125&lt;&gt;"unsure"),E125,""))</f>
        <v/>
      </c>
      <c r="I125" s="2">
        <f>IF(AND(OR(E125="met",E125="not_met"),OR(F125="met",F125="not_met")),1,0)</f>
        <v/>
      </c>
      <c r="J125" s="2">
        <f>IF(I125=1,IF(E125=F125,1,0),"")</f>
        <v/>
      </c>
      <c r="K125" s="2" t="n"/>
      <c r="L125" s="2" t="n"/>
      <c r="M125" s="2" t="n"/>
      <c r="N125" s="2">
        <f>IF(OR(K125="",H125=""),"",IF((K125="met")=(H125="met"),1,0))</f>
        <v/>
      </c>
      <c r="O125" s="2">
        <f>IF(OR(L125="",H125=""),"",IF((L125="met")=(H125="met"),1,0))</f>
        <v/>
      </c>
      <c r="P125" s="2">
        <f>IF(OR(M125="",H125=""),"",IF((M125="met")=(H125="met"),1,0))</f>
        <v/>
      </c>
    </row>
    <row r="126">
      <c r="A126" s="2" t="inlineStr">
        <is>
          <t>C01-08</t>
        </is>
      </c>
      <c r="B126" s="2">
        <f>Key!B126</f>
        <v/>
      </c>
      <c r="C126" s="2">
        <f>Key!C126</f>
        <v/>
      </c>
      <c r="D126" s="2">
        <f>IF(Key!D126="","",Key!D126)</f>
        <v/>
      </c>
      <c r="E126" s="2">
        <f>IF(Label_ChatGPT!F9="","",Label_ChatGPT!F9)</f>
        <v/>
      </c>
      <c r="F126" s="2">
        <f>IF(Label_ChatGPT!G9="","",Label_ChatGPT!G9)</f>
        <v/>
      </c>
      <c r="G126" s="5" t="n"/>
      <c r="H126" s="2">
        <f>IF(G126&lt;&gt;"",G126,IF(AND(E126&lt;&gt;"",E126=F126,E126&lt;&gt;"unsure"),E126,""))</f>
        <v/>
      </c>
      <c r="I126" s="2">
        <f>IF(AND(OR(E126="met",E126="not_met"),OR(F126="met",F126="not_met")),1,0)</f>
        <v/>
      </c>
      <c r="J126" s="2">
        <f>IF(I126=1,IF(E126=F126,1,0),"")</f>
        <v/>
      </c>
      <c r="K126" s="2" t="n"/>
      <c r="L126" s="2" t="n"/>
      <c r="M126" s="2" t="n"/>
      <c r="N126" s="2">
        <f>IF(OR(K126="",H126=""),"",IF((K126="met")=(H126="met"),1,0))</f>
        <v/>
      </c>
      <c r="O126" s="2">
        <f>IF(OR(L126="",H126=""),"",IF((L126="met")=(H126="met"),1,0))</f>
        <v/>
      </c>
      <c r="P126" s="2">
        <f>IF(OR(M126="",H126=""),"",IF((M126="met")=(H126="met"),1,0))</f>
        <v/>
      </c>
    </row>
    <row r="127">
      <c r="A127" s="2" t="inlineStr">
        <is>
          <t>C01-09</t>
        </is>
      </c>
      <c r="B127" s="2">
        <f>Key!B127</f>
        <v/>
      </c>
      <c r="C127" s="2">
        <f>Key!C127</f>
        <v/>
      </c>
      <c r="D127" s="2">
        <f>IF(Key!D127="","",Key!D127)</f>
        <v/>
      </c>
      <c r="E127" s="2">
        <f>IF(Label_ChatGPT!F10="","",Label_ChatGPT!F10)</f>
        <v/>
      </c>
      <c r="F127" s="2">
        <f>IF(Label_ChatGPT!G10="","",Label_ChatGPT!G10)</f>
        <v/>
      </c>
      <c r="G127" s="5" t="n"/>
      <c r="H127" s="2">
        <f>IF(G127&lt;&gt;"",G127,IF(AND(E127&lt;&gt;"",E127=F127,E127&lt;&gt;"unsure"),E127,""))</f>
        <v/>
      </c>
      <c r="I127" s="2">
        <f>IF(AND(OR(E127="met",E127="not_met"),OR(F127="met",F127="not_met")),1,0)</f>
        <v/>
      </c>
      <c r="J127" s="2">
        <f>IF(I127=1,IF(E127=F127,1,0),"")</f>
        <v/>
      </c>
      <c r="K127" s="2" t="n"/>
      <c r="L127" s="2" t="n"/>
      <c r="M127" s="2" t="n"/>
      <c r="N127" s="2">
        <f>IF(OR(K127="",H127=""),"",IF((K127="met")=(H127="met"),1,0))</f>
        <v/>
      </c>
      <c r="O127" s="2">
        <f>IF(OR(L127="",H127=""),"",IF((L127="met")=(H127="met"),1,0))</f>
        <v/>
      </c>
      <c r="P127" s="2">
        <f>IF(OR(M127="",H127=""),"",IF((M127="met")=(H127="met"),1,0))</f>
        <v/>
      </c>
    </row>
    <row r="128">
      <c r="A128" s="2" t="inlineStr">
        <is>
          <t>C01-10</t>
        </is>
      </c>
      <c r="B128" s="2">
        <f>Key!B128</f>
        <v/>
      </c>
      <c r="C128" s="2">
        <f>Key!C128</f>
        <v/>
      </c>
      <c r="D128" s="2">
        <f>IF(Key!D128="","",Key!D128)</f>
        <v/>
      </c>
      <c r="E128" s="2">
        <f>IF(Label_ChatGPT!F11="","",Label_ChatGPT!F11)</f>
        <v/>
      </c>
      <c r="F128" s="2">
        <f>IF(Label_ChatGPT!G11="","",Label_ChatGPT!G11)</f>
        <v/>
      </c>
      <c r="G128" s="5" t="n"/>
      <c r="H128" s="2">
        <f>IF(G128&lt;&gt;"",G128,IF(AND(E128&lt;&gt;"",E128=F128,E128&lt;&gt;"unsure"),E128,""))</f>
        <v/>
      </c>
      <c r="I128" s="2">
        <f>IF(AND(OR(E128="met",E128="not_met"),OR(F128="met",F128="not_met")),1,0)</f>
        <v/>
      </c>
      <c r="J128" s="2">
        <f>IF(I128=1,IF(E128=F128,1,0),"")</f>
        <v/>
      </c>
      <c r="K128" s="2" t="n"/>
      <c r="L128" s="2" t="n"/>
      <c r="M128" s="2" t="n"/>
      <c r="N128" s="2">
        <f>IF(OR(K128="",H128=""),"",IF((K128="met")=(H128="met"),1,0))</f>
        <v/>
      </c>
      <c r="O128" s="2">
        <f>IF(OR(L128="",H128=""),"",IF((L128="met")=(H128="met"),1,0))</f>
        <v/>
      </c>
      <c r="P128" s="2">
        <f>IF(OR(M128="",H128=""),"",IF((M128="met")=(H128="met"),1,0))</f>
        <v/>
      </c>
    </row>
    <row r="129">
      <c r="A129" s="2" t="inlineStr">
        <is>
          <t>C01-11</t>
        </is>
      </c>
      <c r="B129" s="2">
        <f>Key!B129</f>
        <v/>
      </c>
      <c r="C129" s="2">
        <f>Key!C129</f>
        <v/>
      </c>
      <c r="D129" s="2">
        <f>IF(Key!D129="","",Key!D129)</f>
        <v/>
      </c>
      <c r="E129" s="2">
        <f>IF(Label_ChatGPT!F12="","",Label_ChatGPT!F12)</f>
        <v/>
      </c>
      <c r="F129" s="2">
        <f>IF(Label_ChatGPT!G12="","",Label_ChatGPT!G12)</f>
        <v/>
      </c>
      <c r="G129" s="5" t="n"/>
      <c r="H129" s="2">
        <f>IF(G129&lt;&gt;"",G129,IF(AND(E129&lt;&gt;"",E129=F129,E129&lt;&gt;"unsure"),E129,""))</f>
        <v/>
      </c>
      <c r="I129" s="2">
        <f>IF(AND(OR(E129="met",E129="not_met"),OR(F129="met",F129="not_met")),1,0)</f>
        <v/>
      </c>
      <c r="J129" s="2">
        <f>IF(I129=1,IF(E129=F129,1,0),"")</f>
        <v/>
      </c>
      <c r="K129" s="2" t="n"/>
      <c r="L129" s="2" t="n"/>
      <c r="M129" s="2" t="n"/>
      <c r="N129" s="2">
        <f>IF(OR(K129="",H129=""),"",IF((K129="met")=(H129="met"),1,0))</f>
        <v/>
      </c>
      <c r="O129" s="2">
        <f>IF(OR(L129="",H129=""),"",IF((L129="met")=(H129="met"),1,0))</f>
        <v/>
      </c>
      <c r="P129" s="2">
        <f>IF(OR(M129="",H129=""),"",IF((M129="met")=(H129="met"),1,0))</f>
        <v/>
      </c>
    </row>
    <row r="130">
      <c r="A130" s="2" t="inlineStr">
        <is>
          <t>C01-12</t>
        </is>
      </c>
      <c r="B130" s="2">
        <f>Key!B130</f>
        <v/>
      </c>
      <c r="C130" s="2">
        <f>Key!C130</f>
        <v/>
      </c>
      <c r="D130" s="2">
        <f>IF(Key!D130="","",Key!D130)</f>
        <v/>
      </c>
      <c r="E130" s="2">
        <f>IF(Label_ChatGPT!F13="","",Label_ChatGPT!F13)</f>
        <v/>
      </c>
      <c r="F130" s="2">
        <f>IF(Label_ChatGPT!G13="","",Label_ChatGPT!G13)</f>
        <v/>
      </c>
      <c r="G130" s="5" t="n"/>
      <c r="H130" s="2">
        <f>IF(G130&lt;&gt;"",G130,IF(AND(E130&lt;&gt;"",E130=F130,E130&lt;&gt;"unsure"),E130,""))</f>
        <v/>
      </c>
      <c r="I130" s="2">
        <f>IF(AND(OR(E130="met",E130="not_met"),OR(F130="met",F130="not_met")),1,0)</f>
        <v/>
      </c>
      <c r="J130" s="2">
        <f>IF(I130=1,IF(E130=F130,1,0),"")</f>
        <v/>
      </c>
      <c r="K130" s="2" t="n"/>
      <c r="L130" s="2" t="n"/>
      <c r="M130" s="2" t="n"/>
      <c r="N130" s="2">
        <f>IF(OR(K130="",H130=""),"",IF((K130="met")=(H130="met"),1,0))</f>
        <v/>
      </c>
      <c r="O130" s="2">
        <f>IF(OR(L130="",H130=""),"",IF((L130="met")=(H130="met"),1,0))</f>
        <v/>
      </c>
      <c r="P130" s="2">
        <f>IF(OR(M130="",H130=""),"",IF((M130="met")=(H130="met"),1,0))</f>
        <v/>
      </c>
    </row>
    <row r="131">
      <c r="A131" s="2" t="inlineStr">
        <is>
          <t>C01-13</t>
        </is>
      </c>
      <c r="B131" s="2">
        <f>Key!B131</f>
        <v/>
      </c>
      <c r="C131" s="2">
        <f>Key!C131</f>
        <v/>
      </c>
      <c r="D131" s="2">
        <f>IF(Key!D131="","",Key!D131)</f>
        <v/>
      </c>
      <c r="E131" s="2">
        <f>IF(Label_ChatGPT!F14="","",Label_ChatGPT!F14)</f>
        <v/>
      </c>
      <c r="F131" s="2">
        <f>IF(Label_ChatGPT!G14="","",Label_ChatGPT!G14)</f>
        <v/>
      </c>
      <c r="G131" s="5" t="n"/>
      <c r="H131" s="2">
        <f>IF(G131&lt;&gt;"",G131,IF(AND(E131&lt;&gt;"",E131=F131,E131&lt;&gt;"unsure"),E131,""))</f>
        <v/>
      </c>
      <c r="I131" s="2">
        <f>IF(AND(OR(E131="met",E131="not_met"),OR(F131="met",F131="not_met")),1,0)</f>
        <v/>
      </c>
      <c r="J131" s="2">
        <f>IF(I131=1,IF(E131=F131,1,0),"")</f>
        <v/>
      </c>
      <c r="K131" s="2" t="n"/>
      <c r="L131" s="2" t="n"/>
      <c r="M131" s="2" t="n"/>
      <c r="N131" s="2">
        <f>IF(OR(K131="",H131=""),"",IF((K131="met")=(H131="met"),1,0))</f>
        <v/>
      </c>
      <c r="O131" s="2">
        <f>IF(OR(L131="",H131=""),"",IF((L131="met")=(H131="met"),1,0))</f>
        <v/>
      </c>
      <c r="P131" s="2">
        <f>IF(OR(M131="",H131=""),"",IF((M131="met")=(H131="met"),1,0))</f>
        <v/>
      </c>
    </row>
    <row r="132">
      <c r="A132" s="2" t="inlineStr">
        <is>
          <t>C01-14</t>
        </is>
      </c>
      <c r="B132" s="2">
        <f>Key!B132</f>
        <v/>
      </c>
      <c r="C132" s="2">
        <f>Key!C132</f>
        <v/>
      </c>
      <c r="D132" s="2">
        <f>IF(Key!D132="","",Key!D132)</f>
        <v/>
      </c>
      <c r="E132" s="2">
        <f>IF(Label_ChatGPT!F15="","",Label_ChatGPT!F15)</f>
        <v/>
      </c>
      <c r="F132" s="2">
        <f>IF(Label_ChatGPT!G15="","",Label_ChatGPT!G15)</f>
        <v/>
      </c>
      <c r="G132" s="5" t="n"/>
      <c r="H132" s="2">
        <f>IF(G132&lt;&gt;"",G132,IF(AND(E132&lt;&gt;"",E132=F132,E132&lt;&gt;"unsure"),E132,""))</f>
        <v/>
      </c>
      <c r="I132" s="2">
        <f>IF(AND(OR(E132="met",E132="not_met"),OR(F132="met",F132="not_met")),1,0)</f>
        <v/>
      </c>
      <c r="J132" s="2">
        <f>IF(I132=1,IF(E132=F132,1,0),"")</f>
        <v/>
      </c>
      <c r="K132" s="2" t="n"/>
      <c r="L132" s="2" t="n"/>
      <c r="M132" s="2" t="n"/>
      <c r="N132" s="2">
        <f>IF(OR(K132="",H132=""),"",IF((K132="met")=(H132="met"),1,0))</f>
        <v/>
      </c>
      <c r="O132" s="2">
        <f>IF(OR(L132="",H132=""),"",IF((L132="met")=(H132="met"),1,0))</f>
        <v/>
      </c>
      <c r="P132" s="2">
        <f>IF(OR(M132="",H132=""),"",IF((M132="met")=(H132="met"),1,0))</f>
        <v/>
      </c>
    </row>
    <row r="133">
      <c r="A133" s="2" t="inlineStr">
        <is>
          <t>C01-15</t>
        </is>
      </c>
      <c r="B133" s="2">
        <f>Key!B133</f>
        <v/>
      </c>
      <c r="C133" s="2">
        <f>Key!C133</f>
        <v/>
      </c>
      <c r="D133" s="2">
        <f>IF(Key!D133="","",Key!D133)</f>
        <v/>
      </c>
      <c r="E133" s="2">
        <f>IF(Label_ChatGPT!F16="","",Label_ChatGPT!F16)</f>
        <v/>
      </c>
      <c r="F133" s="2">
        <f>IF(Label_ChatGPT!G16="","",Label_ChatGPT!G16)</f>
        <v/>
      </c>
      <c r="G133" s="5" t="n"/>
      <c r="H133" s="2">
        <f>IF(G133&lt;&gt;"",G133,IF(AND(E133&lt;&gt;"",E133=F133,E133&lt;&gt;"unsure"),E133,""))</f>
        <v/>
      </c>
      <c r="I133" s="2">
        <f>IF(AND(OR(E133="met",E133="not_met"),OR(F133="met",F133="not_met")),1,0)</f>
        <v/>
      </c>
      <c r="J133" s="2">
        <f>IF(I133=1,IF(E133=F133,1,0),"")</f>
        <v/>
      </c>
      <c r="K133" s="2" t="n"/>
      <c r="L133" s="2" t="n"/>
      <c r="M133" s="2" t="n"/>
      <c r="N133" s="2">
        <f>IF(OR(K133="",H133=""),"",IF((K133="met")=(H133="met"),1,0))</f>
        <v/>
      </c>
      <c r="O133" s="2">
        <f>IF(OR(L133="",H133=""),"",IF((L133="met")=(H133="met"),1,0))</f>
        <v/>
      </c>
      <c r="P133" s="2">
        <f>IF(OR(M133="",H133=""),"",IF((M133="met")=(H133="met"),1,0))</f>
        <v/>
      </c>
    </row>
    <row r="134">
      <c r="A134" s="2" t="inlineStr">
        <is>
          <t>C01-16</t>
        </is>
      </c>
      <c r="B134" s="2">
        <f>Key!B134</f>
        <v/>
      </c>
      <c r="C134" s="2">
        <f>Key!C134</f>
        <v/>
      </c>
      <c r="D134" s="2">
        <f>IF(Key!D134="","",Key!D134)</f>
        <v/>
      </c>
      <c r="E134" s="2">
        <f>IF(Label_ChatGPT!F17="","",Label_ChatGPT!F17)</f>
        <v/>
      </c>
      <c r="F134" s="2">
        <f>IF(Label_ChatGPT!G17="","",Label_ChatGPT!G17)</f>
        <v/>
      </c>
      <c r="G134" s="5" t="n"/>
      <c r="H134" s="2">
        <f>IF(G134&lt;&gt;"",G134,IF(AND(E134&lt;&gt;"",E134=F134,E134&lt;&gt;"unsure"),E134,""))</f>
        <v/>
      </c>
      <c r="I134" s="2">
        <f>IF(AND(OR(E134="met",E134="not_met"),OR(F134="met",F134="not_met")),1,0)</f>
        <v/>
      </c>
      <c r="J134" s="2">
        <f>IF(I134=1,IF(E134=F134,1,0),"")</f>
        <v/>
      </c>
      <c r="K134" s="2" t="n"/>
      <c r="L134" s="2" t="n"/>
      <c r="M134" s="2" t="n"/>
      <c r="N134" s="2">
        <f>IF(OR(K134="",H134=""),"",IF((K134="met")=(H134="met"),1,0))</f>
        <v/>
      </c>
      <c r="O134" s="2">
        <f>IF(OR(L134="",H134=""),"",IF((L134="met")=(H134="met"),1,0))</f>
        <v/>
      </c>
      <c r="P134" s="2">
        <f>IF(OR(M134="",H134=""),"",IF((M134="met")=(H134="met"),1,0))</f>
        <v/>
      </c>
    </row>
    <row r="135">
      <c r="A135" s="2" t="inlineStr">
        <is>
          <t>C02-01</t>
        </is>
      </c>
      <c r="B135" s="2">
        <f>Key!B135</f>
        <v/>
      </c>
      <c r="C135" s="2">
        <f>Key!C135</f>
        <v/>
      </c>
      <c r="D135" s="2">
        <f>IF(Key!D135="","",Key!D135)</f>
        <v/>
      </c>
      <c r="E135" s="2">
        <f>IF(Label_ChatGPT!F18="","",Label_ChatGPT!F18)</f>
        <v/>
      </c>
      <c r="F135" s="2">
        <f>IF(Label_ChatGPT!G18="","",Label_ChatGPT!G18)</f>
        <v/>
      </c>
      <c r="G135" s="5" t="n"/>
      <c r="H135" s="2">
        <f>IF(G135&lt;&gt;"",G135,IF(AND(E135&lt;&gt;"",E135=F135,E135&lt;&gt;"unsure"),E135,""))</f>
        <v/>
      </c>
      <c r="I135" s="2">
        <f>IF(AND(OR(E135="met",E135="not_met"),OR(F135="met",F135="not_met")),1,0)</f>
        <v/>
      </c>
      <c r="J135" s="2">
        <f>IF(I135=1,IF(E135=F135,1,0),"")</f>
        <v/>
      </c>
      <c r="K135" s="2" t="n"/>
      <c r="L135" s="2" t="n"/>
      <c r="M135" s="2" t="n"/>
      <c r="N135" s="2">
        <f>IF(OR(K135="",H135=""),"",IF((K135="met")=(H135="met"),1,0))</f>
        <v/>
      </c>
      <c r="O135" s="2">
        <f>IF(OR(L135="",H135=""),"",IF((L135="met")=(H135="met"),1,0))</f>
        <v/>
      </c>
      <c r="P135" s="2">
        <f>IF(OR(M135="",H135=""),"",IF((M135="met")=(H135="met"),1,0))</f>
        <v/>
      </c>
    </row>
    <row r="136">
      <c r="A136" s="2" t="inlineStr">
        <is>
          <t>C02-02</t>
        </is>
      </c>
      <c r="B136" s="2">
        <f>Key!B136</f>
        <v/>
      </c>
      <c r="C136" s="2">
        <f>Key!C136</f>
        <v/>
      </c>
      <c r="D136" s="2">
        <f>IF(Key!D136="","",Key!D136)</f>
        <v/>
      </c>
      <c r="E136" s="2">
        <f>IF(Label_ChatGPT!F19="","",Label_ChatGPT!F19)</f>
        <v/>
      </c>
      <c r="F136" s="2">
        <f>IF(Label_ChatGPT!G19="","",Label_ChatGPT!G19)</f>
        <v/>
      </c>
      <c r="G136" s="5" t="n"/>
      <c r="H136" s="2">
        <f>IF(G136&lt;&gt;"",G136,IF(AND(E136&lt;&gt;"",E136=F136,E136&lt;&gt;"unsure"),E136,""))</f>
        <v/>
      </c>
      <c r="I136" s="2">
        <f>IF(AND(OR(E136="met",E136="not_met"),OR(F136="met",F136="not_met")),1,0)</f>
        <v/>
      </c>
      <c r="J136" s="2">
        <f>IF(I136=1,IF(E136=F136,1,0),"")</f>
        <v/>
      </c>
      <c r="K136" s="2" t="n"/>
      <c r="L136" s="2" t="n"/>
      <c r="M136" s="2" t="n"/>
      <c r="N136" s="2">
        <f>IF(OR(K136="",H136=""),"",IF((K136="met")=(H136="met"),1,0))</f>
        <v/>
      </c>
      <c r="O136" s="2">
        <f>IF(OR(L136="",H136=""),"",IF((L136="met")=(H136="met"),1,0))</f>
        <v/>
      </c>
      <c r="P136" s="2">
        <f>IF(OR(M136="",H136=""),"",IF((M136="met")=(H136="met"),1,0))</f>
        <v/>
      </c>
    </row>
    <row r="137">
      <c r="A137" s="2" t="inlineStr">
        <is>
          <t>C02-03</t>
        </is>
      </c>
      <c r="B137" s="2">
        <f>Key!B137</f>
        <v/>
      </c>
      <c r="C137" s="2">
        <f>Key!C137</f>
        <v/>
      </c>
      <c r="D137" s="2">
        <f>IF(Key!D137="","",Key!D137)</f>
        <v/>
      </c>
      <c r="E137" s="2">
        <f>IF(Label_ChatGPT!F20="","",Label_ChatGPT!F20)</f>
        <v/>
      </c>
      <c r="F137" s="2">
        <f>IF(Label_ChatGPT!G20="","",Label_ChatGPT!G20)</f>
        <v/>
      </c>
      <c r="G137" s="5" t="n"/>
      <c r="H137" s="2">
        <f>IF(G137&lt;&gt;"",G137,IF(AND(E137&lt;&gt;"",E137=F137,E137&lt;&gt;"unsure"),E137,""))</f>
        <v/>
      </c>
      <c r="I137" s="2">
        <f>IF(AND(OR(E137="met",E137="not_met"),OR(F137="met",F137="not_met")),1,0)</f>
        <v/>
      </c>
      <c r="J137" s="2">
        <f>IF(I137=1,IF(E137=F137,1,0),"")</f>
        <v/>
      </c>
      <c r="K137" s="2" t="n"/>
      <c r="L137" s="2" t="n"/>
      <c r="M137" s="2" t="n"/>
      <c r="N137" s="2">
        <f>IF(OR(K137="",H137=""),"",IF((K137="met")=(H137="met"),1,0))</f>
        <v/>
      </c>
      <c r="O137" s="2">
        <f>IF(OR(L137="",H137=""),"",IF((L137="met")=(H137="met"),1,0))</f>
        <v/>
      </c>
      <c r="P137" s="2">
        <f>IF(OR(M137="",H137=""),"",IF((M137="met")=(H137="met"),1,0))</f>
        <v/>
      </c>
    </row>
    <row r="138">
      <c r="A138" s="2" t="inlineStr">
        <is>
          <t>C02-04</t>
        </is>
      </c>
      <c r="B138" s="2">
        <f>Key!B138</f>
        <v/>
      </c>
      <c r="C138" s="2">
        <f>Key!C138</f>
        <v/>
      </c>
      <c r="D138" s="2">
        <f>IF(Key!D138="","",Key!D138)</f>
        <v/>
      </c>
      <c r="E138" s="2">
        <f>IF(Label_ChatGPT!F21="","",Label_ChatGPT!F21)</f>
        <v/>
      </c>
      <c r="F138" s="2">
        <f>IF(Label_ChatGPT!G21="","",Label_ChatGPT!G21)</f>
        <v/>
      </c>
      <c r="G138" s="5" t="n"/>
      <c r="H138" s="2">
        <f>IF(G138&lt;&gt;"",G138,IF(AND(E138&lt;&gt;"",E138=F138,E138&lt;&gt;"unsure"),E138,""))</f>
        <v/>
      </c>
      <c r="I138" s="2">
        <f>IF(AND(OR(E138="met",E138="not_met"),OR(F138="met",F138="not_met")),1,0)</f>
        <v/>
      </c>
      <c r="J138" s="2">
        <f>IF(I138=1,IF(E138=F138,1,0),"")</f>
        <v/>
      </c>
      <c r="K138" s="2" t="n"/>
      <c r="L138" s="2" t="n"/>
      <c r="M138" s="2" t="n"/>
      <c r="N138" s="2">
        <f>IF(OR(K138="",H138=""),"",IF((K138="met")=(H138="met"),1,0))</f>
        <v/>
      </c>
      <c r="O138" s="2">
        <f>IF(OR(L138="",H138=""),"",IF((L138="met")=(H138="met"),1,0))</f>
        <v/>
      </c>
      <c r="P138" s="2">
        <f>IF(OR(M138="",H138=""),"",IF((M138="met")=(H138="met"),1,0))</f>
        <v/>
      </c>
    </row>
    <row r="139">
      <c r="A139" s="2" t="inlineStr">
        <is>
          <t>C02-05</t>
        </is>
      </c>
      <c r="B139" s="2">
        <f>Key!B139</f>
        <v/>
      </c>
      <c r="C139" s="2">
        <f>Key!C139</f>
        <v/>
      </c>
      <c r="D139" s="2">
        <f>IF(Key!D139="","",Key!D139)</f>
        <v/>
      </c>
      <c r="E139" s="2">
        <f>IF(Label_ChatGPT!F22="","",Label_ChatGPT!F22)</f>
        <v/>
      </c>
      <c r="F139" s="2">
        <f>IF(Label_ChatGPT!G22="","",Label_ChatGPT!G22)</f>
        <v/>
      </c>
      <c r="G139" s="5" t="n"/>
      <c r="H139" s="2">
        <f>IF(G139&lt;&gt;"",G139,IF(AND(E139&lt;&gt;"",E139=F139,E139&lt;&gt;"unsure"),E139,""))</f>
        <v/>
      </c>
      <c r="I139" s="2">
        <f>IF(AND(OR(E139="met",E139="not_met"),OR(F139="met",F139="not_met")),1,0)</f>
        <v/>
      </c>
      <c r="J139" s="2">
        <f>IF(I139=1,IF(E139=F139,1,0),"")</f>
        <v/>
      </c>
      <c r="K139" s="2" t="n"/>
      <c r="L139" s="2" t="n"/>
      <c r="M139" s="2" t="n"/>
      <c r="N139" s="2">
        <f>IF(OR(K139="",H139=""),"",IF((K139="met")=(H139="met"),1,0))</f>
        <v/>
      </c>
      <c r="O139" s="2">
        <f>IF(OR(L139="",H139=""),"",IF((L139="met")=(H139="met"),1,0))</f>
        <v/>
      </c>
      <c r="P139" s="2">
        <f>IF(OR(M139="",H139=""),"",IF((M139="met")=(H139="met"),1,0))</f>
        <v/>
      </c>
    </row>
    <row r="140">
      <c r="A140" s="2" t="inlineStr">
        <is>
          <t>C02-06</t>
        </is>
      </c>
      <c r="B140" s="2">
        <f>Key!B140</f>
        <v/>
      </c>
      <c r="C140" s="2">
        <f>Key!C140</f>
        <v/>
      </c>
      <c r="D140" s="2">
        <f>IF(Key!D140="","",Key!D140)</f>
        <v/>
      </c>
      <c r="E140" s="2">
        <f>IF(Label_ChatGPT!F23="","",Label_ChatGPT!F23)</f>
        <v/>
      </c>
      <c r="F140" s="2">
        <f>IF(Label_ChatGPT!G23="","",Label_ChatGPT!G23)</f>
        <v/>
      </c>
      <c r="G140" s="5" t="n"/>
      <c r="H140" s="2">
        <f>IF(G140&lt;&gt;"",G140,IF(AND(E140&lt;&gt;"",E140=F140,E140&lt;&gt;"unsure"),E140,""))</f>
        <v/>
      </c>
      <c r="I140" s="2">
        <f>IF(AND(OR(E140="met",E140="not_met"),OR(F140="met",F140="not_met")),1,0)</f>
        <v/>
      </c>
      <c r="J140" s="2">
        <f>IF(I140=1,IF(E140=F140,1,0),"")</f>
        <v/>
      </c>
      <c r="K140" s="2" t="n"/>
      <c r="L140" s="2" t="n"/>
      <c r="M140" s="2" t="n"/>
      <c r="N140" s="2">
        <f>IF(OR(K140="",H140=""),"",IF((K140="met")=(H140="met"),1,0))</f>
        <v/>
      </c>
      <c r="O140" s="2">
        <f>IF(OR(L140="",H140=""),"",IF((L140="met")=(H140="met"),1,0))</f>
        <v/>
      </c>
      <c r="P140" s="2">
        <f>IF(OR(M140="",H140=""),"",IF((M140="met")=(H140="met"),1,0))</f>
        <v/>
      </c>
    </row>
    <row r="141">
      <c r="A141" s="2" t="inlineStr">
        <is>
          <t>C02-07</t>
        </is>
      </c>
      <c r="B141" s="2">
        <f>Key!B141</f>
        <v/>
      </c>
      <c r="C141" s="2">
        <f>Key!C141</f>
        <v/>
      </c>
      <c r="D141" s="2">
        <f>IF(Key!D141="","",Key!D141)</f>
        <v/>
      </c>
      <c r="E141" s="2">
        <f>IF(Label_ChatGPT!F24="","",Label_ChatGPT!F24)</f>
        <v/>
      </c>
      <c r="F141" s="2">
        <f>IF(Label_ChatGPT!G24="","",Label_ChatGPT!G24)</f>
        <v/>
      </c>
      <c r="G141" s="5" t="n"/>
      <c r="H141" s="2">
        <f>IF(G141&lt;&gt;"",G141,IF(AND(E141&lt;&gt;"",E141=F141,E141&lt;&gt;"unsure"),E141,""))</f>
        <v/>
      </c>
      <c r="I141" s="2">
        <f>IF(AND(OR(E141="met",E141="not_met"),OR(F141="met",F141="not_met")),1,0)</f>
        <v/>
      </c>
      <c r="J141" s="2">
        <f>IF(I141=1,IF(E141=F141,1,0),"")</f>
        <v/>
      </c>
      <c r="K141" s="2" t="n"/>
      <c r="L141" s="2" t="n"/>
      <c r="M141" s="2" t="n"/>
      <c r="N141" s="2">
        <f>IF(OR(K141="",H141=""),"",IF((K141="met")=(H141="met"),1,0))</f>
        <v/>
      </c>
      <c r="O141" s="2">
        <f>IF(OR(L141="",H141=""),"",IF((L141="met")=(H141="met"),1,0))</f>
        <v/>
      </c>
      <c r="P141" s="2">
        <f>IF(OR(M141="",H141=""),"",IF((M141="met")=(H141="met"),1,0))</f>
        <v/>
      </c>
    </row>
    <row r="142">
      <c r="A142" s="2" t="inlineStr">
        <is>
          <t>C02-08</t>
        </is>
      </c>
      <c r="B142" s="2">
        <f>Key!B142</f>
        <v/>
      </c>
      <c r="C142" s="2">
        <f>Key!C142</f>
        <v/>
      </c>
      <c r="D142" s="2">
        <f>IF(Key!D142="","",Key!D142)</f>
        <v/>
      </c>
      <c r="E142" s="2">
        <f>IF(Label_ChatGPT!F25="","",Label_ChatGPT!F25)</f>
        <v/>
      </c>
      <c r="F142" s="2">
        <f>IF(Label_ChatGPT!G25="","",Label_ChatGPT!G25)</f>
        <v/>
      </c>
      <c r="G142" s="5" t="n"/>
      <c r="H142" s="2">
        <f>IF(G142&lt;&gt;"",G142,IF(AND(E142&lt;&gt;"",E142=F142,E142&lt;&gt;"unsure"),E142,""))</f>
        <v/>
      </c>
      <c r="I142" s="2">
        <f>IF(AND(OR(E142="met",E142="not_met"),OR(F142="met",F142="not_met")),1,0)</f>
        <v/>
      </c>
      <c r="J142" s="2">
        <f>IF(I142=1,IF(E142=F142,1,0),"")</f>
        <v/>
      </c>
      <c r="K142" s="2" t="n"/>
      <c r="L142" s="2" t="n"/>
      <c r="M142" s="2" t="n"/>
      <c r="N142" s="2">
        <f>IF(OR(K142="",H142=""),"",IF((K142="met")=(H142="met"),1,0))</f>
        <v/>
      </c>
      <c r="O142" s="2">
        <f>IF(OR(L142="",H142=""),"",IF((L142="met")=(H142="met"),1,0))</f>
        <v/>
      </c>
      <c r="P142" s="2">
        <f>IF(OR(M142="",H142=""),"",IF((M142="met")=(H142="met"),1,0))</f>
        <v/>
      </c>
    </row>
    <row r="143">
      <c r="A143" s="2" t="inlineStr">
        <is>
          <t>C02-09</t>
        </is>
      </c>
      <c r="B143" s="2">
        <f>Key!B143</f>
        <v/>
      </c>
      <c r="C143" s="2">
        <f>Key!C143</f>
        <v/>
      </c>
      <c r="D143" s="2">
        <f>IF(Key!D143="","",Key!D143)</f>
        <v/>
      </c>
      <c r="E143" s="2">
        <f>IF(Label_ChatGPT!F26="","",Label_ChatGPT!F26)</f>
        <v/>
      </c>
      <c r="F143" s="2">
        <f>IF(Label_ChatGPT!G26="","",Label_ChatGPT!G26)</f>
        <v/>
      </c>
      <c r="G143" s="5" t="n"/>
      <c r="H143" s="2">
        <f>IF(G143&lt;&gt;"",G143,IF(AND(E143&lt;&gt;"",E143=F143,E143&lt;&gt;"unsure"),E143,""))</f>
        <v/>
      </c>
      <c r="I143" s="2">
        <f>IF(AND(OR(E143="met",E143="not_met"),OR(F143="met",F143="not_met")),1,0)</f>
        <v/>
      </c>
      <c r="J143" s="2">
        <f>IF(I143=1,IF(E143=F143,1,0),"")</f>
        <v/>
      </c>
      <c r="K143" s="2" t="n"/>
      <c r="L143" s="2" t="n"/>
      <c r="M143" s="2" t="n"/>
      <c r="N143" s="2">
        <f>IF(OR(K143="",H143=""),"",IF((K143="met")=(H143="met"),1,0))</f>
        <v/>
      </c>
      <c r="O143" s="2">
        <f>IF(OR(L143="",H143=""),"",IF((L143="met")=(H143="met"),1,0))</f>
        <v/>
      </c>
      <c r="P143" s="2">
        <f>IF(OR(M143="",H143=""),"",IF((M143="met")=(H143="met"),1,0))</f>
        <v/>
      </c>
    </row>
    <row r="144">
      <c r="A144" s="2" t="inlineStr">
        <is>
          <t>C02-10</t>
        </is>
      </c>
      <c r="B144" s="2">
        <f>Key!B144</f>
        <v/>
      </c>
      <c r="C144" s="2">
        <f>Key!C144</f>
        <v/>
      </c>
      <c r="D144" s="2">
        <f>IF(Key!D144="","",Key!D144)</f>
        <v/>
      </c>
      <c r="E144" s="2">
        <f>IF(Label_ChatGPT!F27="","",Label_ChatGPT!F27)</f>
        <v/>
      </c>
      <c r="F144" s="2">
        <f>IF(Label_ChatGPT!G27="","",Label_ChatGPT!G27)</f>
        <v/>
      </c>
      <c r="G144" s="5" t="n"/>
      <c r="H144" s="2">
        <f>IF(G144&lt;&gt;"",G144,IF(AND(E144&lt;&gt;"",E144=F144,E144&lt;&gt;"unsure"),E144,""))</f>
        <v/>
      </c>
      <c r="I144" s="2">
        <f>IF(AND(OR(E144="met",E144="not_met"),OR(F144="met",F144="not_met")),1,0)</f>
        <v/>
      </c>
      <c r="J144" s="2">
        <f>IF(I144=1,IF(E144=F144,1,0),"")</f>
        <v/>
      </c>
      <c r="K144" s="2" t="n"/>
      <c r="L144" s="2" t="n"/>
      <c r="M144" s="2" t="n"/>
      <c r="N144" s="2">
        <f>IF(OR(K144="",H144=""),"",IF((K144="met")=(H144="met"),1,0))</f>
        <v/>
      </c>
      <c r="O144" s="2">
        <f>IF(OR(L144="",H144=""),"",IF((L144="met")=(H144="met"),1,0))</f>
        <v/>
      </c>
      <c r="P144" s="2">
        <f>IF(OR(M144="",H144=""),"",IF((M144="met")=(H144="met"),1,0))</f>
        <v/>
      </c>
    </row>
    <row r="145">
      <c r="A145" s="2" t="inlineStr">
        <is>
          <t>C02-11</t>
        </is>
      </c>
      <c r="B145" s="2">
        <f>Key!B145</f>
        <v/>
      </c>
      <c r="C145" s="2">
        <f>Key!C145</f>
        <v/>
      </c>
      <c r="D145" s="2">
        <f>IF(Key!D145="","",Key!D145)</f>
        <v/>
      </c>
      <c r="E145" s="2">
        <f>IF(Label_ChatGPT!F28="","",Label_ChatGPT!F28)</f>
        <v/>
      </c>
      <c r="F145" s="2">
        <f>IF(Label_ChatGPT!G28="","",Label_ChatGPT!G28)</f>
        <v/>
      </c>
      <c r="G145" s="5" t="n"/>
      <c r="H145" s="2">
        <f>IF(G145&lt;&gt;"",G145,IF(AND(E145&lt;&gt;"",E145=F145,E145&lt;&gt;"unsure"),E145,""))</f>
        <v/>
      </c>
      <c r="I145" s="2">
        <f>IF(AND(OR(E145="met",E145="not_met"),OR(F145="met",F145="not_met")),1,0)</f>
        <v/>
      </c>
      <c r="J145" s="2">
        <f>IF(I145=1,IF(E145=F145,1,0),"")</f>
        <v/>
      </c>
      <c r="K145" s="2" t="n"/>
      <c r="L145" s="2" t="n"/>
      <c r="M145" s="2" t="n"/>
      <c r="N145" s="2">
        <f>IF(OR(K145="",H145=""),"",IF((K145="met")=(H145="met"),1,0))</f>
        <v/>
      </c>
      <c r="O145" s="2">
        <f>IF(OR(L145="",H145=""),"",IF((L145="met")=(H145="met"),1,0))</f>
        <v/>
      </c>
      <c r="P145" s="2">
        <f>IF(OR(M145="",H145=""),"",IF((M145="met")=(H145="met"),1,0))</f>
        <v/>
      </c>
    </row>
    <row r="146">
      <c r="A146" s="2" t="inlineStr">
        <is>
          <t>C02-12</t>
        </is>
      </c>
      <c r="B146" s="2">
        <f>Key!B146</f>
        <v/>
      </c>
      <c r="C146" s="2">
        <f>Key!C146</f>
        <v/>
      </c>
      <c r="D146" s="2">
        <f>IF(Key!D146="","",Key!D146)</f>
        <v/>
      </c>
      <c r="E146" s="2">
        <f>IF(Label_ChatGPT!F29="","",Label_ChatGPT!F29)</f>
        <v/>
      </c>
      <c r="F146" s="2">
        <f>IF(Label_ChatGPT!G29="","",Label_ChatGPT!G29)</f>
        <v/>
      </c>
      <c r="G146" s="5" t="n"/>
      <c r="H146" s="2">
        <f>IF(G146&lt;&gt;"",G146,IF(AND(E146&lt;&gt;"",E146=F146,E146&lt;&gt;"unsure"),E146,""))</f>
        <v/>
      </c>
      <c r="I146" s="2">
        <f>IF(AND(OR(E146="met",E146="not_met"),OR(F146="met",F146="not_met")),1,0)</f>
        <v/>
      </c>
      <c r="J146" s="2">
        <f>IF(I146=1,IF(E146=F146,1,0),"")</f>
        <v/>
      </c>
      <c r="K146" s="2" t="n"/>
      <c r="L146" s="2" t="n"/>
      <c r="M146" s="2" t="n"/>
      <c r="N146" s="2">
        <f>IF(OR(K146="",H146=""),"",IF((K146="met")=(H146="met"),1,0))</f>
        <v/>
      </c>
      <c r="O146" s="2">
        <f>IF(OR(L146="",H146=""),"",IF((L146="met")=(H146="met"),1,0))</f>
        <v/>
      </c>
      <c r="P146" s="2">
        <f>IF(OR(M146="",H146=""),"",IF((M146="met")=(H146="met"),1,0))</f>
        <v/>
      </c>
    </row>
    <row r="147">
      <c r="A147" s="2" t="inlineStr">
        <is>
          <t>C02-13</t>
        </is>
      </c>
      <c r="B147" s="2">
        <f>Key!B147</f>
        <v/>
      </c>
      <c r="C147" s="2">
        <f>Key!C147</f>
        <v/>
      </c>
      <c r="D147" s="2">
        <f>IF(Key!D147="","",Key!D147)</f>
        <v/>
      </c>
      <c r="E147" s="2">
        <f>IF(Label_ChatGPT!F30="","",Label_ChatGPT!F30)</f>
        <v/>
      </c>
      <c r="F147" s="2">
        <f>IF(Label_ChatGPT!G30="","",Label_ChatGPT!G30)</f>
        <v/>
      </c>
      <c r="G147" s="5" t="n"/>
      <c r="H147" s="2">
        <f>IF(G147&lt;&gt;"",G147,IF(AND(E147&lt;&gt;"",E147=F147,E147&lt;&gt;"unsure"),E147,""))</f>
        <v/>
      </c>
      <c r="I147" s="2">
        <f>IF(AND(OR(E147="met",E147="not_met"),OR(F147="met",F147="not_met")),1,0)</f>
        <v/>
      </c>
      <c r="J147" s="2">
        <f>IF(I147=1,IF(E147=F147,1,0),"")</f>
        <v/>
      </c>
      <c r="K147" s="2" t="n"/>
      <c r="L147" s="2" t="n"/>
      <c r="M147" s="2" t="n"/>
      <c r="N147" s="2">
        <f>IF(OR(K147="",H147=""),"",IF((K147="met")=(H147="met"),1,0))</f>
        <v/>
      </c>
      <c r="O147" s="2">
        <f>IF(OR(L147="",H147=""),"",IF((L147="met")=(H147="met"),1,0))</f>
        <v/>
      </c>
      <c r="P147" s="2">
        <f>IF(OR(M147="",H147=""),"",IF((M147="met")=(H147="met"),1,0))</f>
        <v/>
      </c>
    </row>
    <row r="148">
      <c r="A148" s="2" t="inlineStr">
        <is>
          <t>C02-14</t>
        </is>
      </c>
      <c r="B148" s="2">
        <f>Key!B148</f>
        <v/>
      </c>
      <c r="C148" s="2">
        <f>Key!C148</f>
        <v/>
      </c>
      <c r="D148" s="2">
        <f>IF(Key!D148="","",Key!D148)</f>
        <v/>
      </c>
      <c r="E148" s="2">
        <f>IF(Label_ChatGPT!F31="","",Label_ChatGPT!F31)</f>
        <v/>
      </c>
      <c r="F148" s="2">
        <f>IF(Label_ChatGPT!G31="","",Label_ChatGPT!G31)</f>
        <v/>
      </c>
      <c r="G148" s="5" t="n"/>
      <c r="H148" s="2">
        <f>IF(G148&lt;&gt;"",G148,IF(AND(E148&lt;&gt;"",E148=F148,E148&lt;&gt;"unsure"),E148,""))</f>
        <v/>
      </c>
      <c r="I148" s="2">
        <f>IF(AND(OR(E148="met",E148="not_met"),OR(F148="met",F148="not_met")),1,0)</f>
        <v/>
      </c>
      <c r="J148" s="2">
        <f>IF(I148=1,IF(E148=F148,1,0),"")</f>
        <v/>
      </c>
      <c r="K148" s="2" t="n"/>
      <c r="L148" s="2" t="n"/>
      <c r="M148" s="2" t="n"/>
      <c r="N148" s="2">
        <f>IF(OR(K148="",H148=""),"",IF((K148="met")=(H148="met"),1,0))</f>
        <v/>
      </c>
      <c r="O148" s="2">
        <f>IF(OR(L148="",H148=""),"",IF((L148="met")=(H148="met"),1,0))</f>
        <v/>
      </c>
      <c r="P148" s="2">
        <f>IF(OR(M148="",H148=""),"",IF((M148="met")=(H148="met"),1,0))</f>
        <v/>
      </c>
    </row>
    <row r="149">
      <c r="A149" s="2" t="inlineStr">
        <is>
          <t>C02-15</t>
        </is>
      </c>
      <c r="B149" s="2">
        <f>Key!B149</f>
        <v/>
      </c>
      <c r="C149" s="2">
        <f>Key!C149</f>
        <v/>
      </c>
      <c r="D149" s="2">
        <f>IF(Key!D149="","",Key!D149)</f>
        <v/>
      </c>
      <c r="E149" s="2">
        <f>IF(Label_ChatGPT!F32="","",Label_ChatGPT!F32)</f>
        <v/>
      </c>
      <c r="F149" s="2">
        <f>IF(Label_ChatGPT!G32="","",Label_ChatGPT!G32)</f>
        <v/>
      </c>
      <c r="G149" s="5" t="n"/>
      <c r="H149" s="2">
        <f>IF(G149&lt;&gt;"",G149,IF(AND(E149&lt;&gt;"",E149=F149,E149&lt;&gt;"unsure"),E149,""))</f>
        <v/>
      </c>
      <c r="I149" s="2">
        <f>IF(AND(OR(E149="met",E149="not_met"),OR(F149="met",F149="not_met")),1,0)</f>
        <v/>
      </c>
      <c r="J149" s="2">
        <f>IF(I149=1,IF(E149=F149,1,0),"")</f>
        <v/>
      </c>
      <c r="K149" s="2" t="n"/>
      <c r="L149" s="2" t="n"/>
      <c r="M149" s="2" t="n"/>
      <c r="N149" s="2">
        <f>IF(OR(K149="",H149=""),"",IF((K149="met")=(H149="met"),1,0))</f>
        <v/>
      </c>
      <c r="O149" s="2">
        <f>IF(OR(L149="",H149=""),"",IF((L149="met")=(H149="met"),1,0))</f>
        <v/>
      </c>
      <c r="P149" s="2">
        <f>IF(OR(M149="",H149=""),"",IF((M149="met")=(H149="met"),1,0))</f>
        <v/>
      </c>
    </row>
    <row r="150">
      <c r="A150" s="2" t="inlineStr">
        <is>
          <t>C02-16</t>
        </is>
      </c>
      <c r="B150" s="2">
        <f>Key!B150</f>
        <v/>
      </c>
      <c r="C150" s="2">
        <f>Key!C150</f>
        <v/>
      </c>
      <c r="D150" s="2">
        <f>IF(Key!D150="","",Key!D150)</f>
        <v/>
      </c>
      <c r="E150" s="2">
        <f>IF(Label_ChatGPT!F33="","",Label_ChatGPT!F33)</f>
        <v/>
      </c>
      <c r="F150" s="2">
        <f>IF(Label_ChatGPT!G33="","",Label_ChatGPT!G33)</f>
        <v/>
      </c>
      <c r="G150" s="5" t="n"/>
      <c r="H150" s="2">
        <f>IF(G150&lt;&gt;"",G150,IF(AND(E150&lt;&gt;"",E150=F150,E150&lt;&gt;"unsure"),E150,""))</f>
        <v/>
      </c>
      <c r="I150" s="2">
        <f>IF(AND(OR(E150="met",E150="not_met"),OR(F150="met",F150="not_met")),1,0)</f>
        <v/>
      </c>
      <c r="J150" s="2">
        <f>IF(I150=1,IF(E150=F150,1,0),"")</f>
        <v/>
      </c>
      <c r="K150" s="2" t="n"/>
      <c r="L150" s="2" t="n"/>
      <c r="M150" s="2" t="n"/>
      <c r="N150" s="2">
        <f>IF(OR(K150="",H150=""),"",IF((K150="met")=(H150="met"),1,0))</f>
        <v/>
      </c>
      <c r="O150" s="2">
        <f>IF(OR(L150="",H150=""),"",IF((L150="met")=(H150="met"),1,0))</f>
        <v/>
      </c>
      <c r="P150" s="2">
        <f>IF(OR(M150="",H150=""),"",IF((M150="met")=(H150="met"),1,0))</f>
        <v/>
      </c>
    </row>
    <row r="151">
      <c r="A151" s="2" t="inlineStr">
        <is>
          <t>C02-17</t>
        </is>
      </c>
      <c r="B151" s="2">
        <f>Key!B151</f>
        <v/>
      </c>
      <c r="C151" s="2">
        <f>Key!C151</f>
        <v/>
      </c>
      <c r="D151" s="2">
        <f>IF(Key!D151="","",Key!D151)</f>
        <v/>
      </c>
      <c r="E151" s="2">
        <f>IF(Label_ChatGPT!F34="","",Label_ChatGPT!F34)</f>
        <v/>
      </c>
      <c r="F151" s="2">
        <f>IF(Label_ChatGPT!G34="","",Label_ChatGPT!G34)</f>
        <v/>
      </c>
      <c r="G151" s="5" t="n"/>
      <c r="H151" s="2">
        <f>IF(G151&lt;&gt;"",G151,IF(AND(E151&lt;&gt;"",E151=F151,E151&lt;&gt;"unsure"),E151,""))</f>
        <v/>
      </c>
      <c r="I151" s="2">
        <f>IF(AND(OR(E151="met",E151="not_met"),OR(F151="met",F151="not_met")),1,0)</f>
        <v/>
      </c>
      <c r="J151" s="2">
        <f>IF(I151=1,IF(E151=F151,1,0),"")</f>
        <v/>
      </c>
      <c r="K151" s="2" t="n"/>
      <c r="L151" s="2" t="n"/>
      <c r="M151" s="2" t="n"/>
      <c r="N151" s="2">
        <f>IF(OR(K151="",H151=""),"",IF((K151="met")=(H151="met"),1,0))</f>
        <v/>
      </c>
      <c r="O151" s="2">
        <f>IF(OR(L151="",H151=""),"",IF((L151="met")=(H151="met"),1,0))</f>
        <v/>
      </c>
      <c r="P151" s="2">
        <f>IF(OR(M151="",H151=""),"",IF((M151="met")=(H151="met"),1,0))</f>
        <v/>
      </c>
    </row>
    <row r="152">
      <c r="A152" s="2" t="inlineStr">
        <is>
          <t>C02-18</t>
        </is>
      </c>
      <c r="B152" s="2">
        <f>Key!B152</f>
        <v/>
      </c>
      <c r="C152" s="2">
        <f>Key!C152</f>
        <v/>
      </c>
      <c r="D152" s="2">
        <f>IF(Key!D152="","",Key!D152)</f>
        <v/>
      </c>
      <c r="E152" s="2">
        <f>IF(Label_ChatGPT!F35="","",Label_ChatGPT!F35)</f>
        <v/>
      </c>
      <c r="F152" s="2">
        <f>IF(Label_ChatGPT!G35="","",Label_ChatGPT!G35)</f>
        <v/>
      </c>
      <c r="G152" s="5" t="n"/>
      <c r="H152" s="2">
        <f>IF(G152&lt;&gt;"",G152,IF(AND(E152&lt;&gt;"",E152=F152,E152&lt;&gt;"unsure"),E152,""))</f>
        <v/>
      </c>
      <c r="I152" s="2">
        <f>IF(AND(OR(E152="met",E152="not_met"),OR(F152="met",F152="not_met")),1,0)</f>
        <v/>
      </c>
      <c r="J152" s="2">
        <f>IF(I152=1,IF(E152=F152,1,0),"")</f>
        <v/>
      </c>
      <c r="K152" s="2" t="n"/>
      <c r="L152" s="2" t="n"/>
      <c r="M152" s="2" t="n"/>
      <c r="N152" s="2">
        <f>IF(OR(K152="",H152=""),"",IF((K152="met")=(H152="met"),1,0))</f>
        <v/>
      </c>
      <c r="O152" s="2">
        <f>IF(OR(L152="",H152=""),"",IF((L152="met")=(H152="met"),1,0))</f>
        <v/>
      </c>
      <c r="P152" s="2">
        <f>IF(OR(M152="",H152=""),"",IF((M152="met")=(H152="met"),1,0))</f>
        <v/>
      </c>
    </row>
    <row r="153">
      <c r="A153" s="2" t="inlineStr">
        <is>
          <t>C02-19</t>
        </is>
      </c>
      <c r="B153" s="2">
        <f>Key!B153</f>
        <v/>
      </c>
      <c r="C153" s="2">
        <f>Key!C153</f>
        <v/>
      </c>
      <c r="D153" s="2">
        <f>IF(Key!D153="","",Key!D153)</f>
        <v/>
      </c>
      <c r="E153" s="2">
        <f>IF(Label_ChatGPT!F36="","",Label_ChatGPT!F36)</f>
        <v/>
      </c>
      <c r="F153" s="2">
        <f>IF(Label_ChatGPT!G36="","",Label_ChatGPT!G36)</f>
        <v/>
      </c>
      <c r="G153" s="5" t="n"/>
      <c r="H153" s="2">
        <f>IF(G153&lt;&gt;"",G153,IF(AND(E153&lt;&gt;"",E153=F153,E153&lt;&gt;"unsure"),E153,""))</f>
        <v/>
      </c>
      <c r="I153" s="2">
        <f>IF(AND(OR(E153="met",E153="not_met"),OR(F153="met",F153="not_met")),1,0)</f>
        <v/>
      </c>
      <c r="J153" s="2">
        <f>IF(I153=1,IF(E153=F153,1,0),"")</f>
        <v/>
      </c>
      <c r="K153" s="2" t="n"/>
      <c r="L153" s="2" t="n"/>
      <c r="M153" s="2" t="n"/>
      <c r="N153" s="2">
        <f>IF(OR(K153="",H153=""),"",IF((K153="met")=(H153="met"),1,0))</f>
        <v/>
      </c>
      <c r="O153" s="2">
        <f>IF(OR(L153="",H153=""),"",IF((L153="met")=(H153="met"),1,0))</f>
        <v/>
      </c>
      <c r="P153" s="2">
        <f>IF(OR(M153="",H153=""),"",IF((M153="met")=(H153="met"),1,0))</f>
        <v/>
      </c>
    </row>
    <row r="154">
      <c r="A154" s="2" t="inlineStr">
        <is>
          <t>C02-20</t>
        </is>
      </c>
      <c r="B154" s="2">
        <f>Key!B154</f>
        <v/>
      </c>
      <c r="C154" s="2">
        <f>Key!C154</f>
        <v/>
      </c>
      <c r="D154" s="2">
        <f>IF(Key!D154="","",Key!D154)</f>
        <v/>
      </c>
      <c r="E154" s="2">
        <f>IF(Label_ChatGPT!F37="","",Label_ChatGPT!F37)</f>
        <v/>
      </c>
      <c r="F154" s="2">
        <f>IF(Label_ChatGPT!G37="","",Label_ChatGPT!G37)</f>
        <v/>
      </c>
      <c r="G154" s="5" t="n"/>
      <c r="H154" s="2">
        <f>IF(G154&lt;&gt;"",G154,IF(AND(E154&lt;&gt;"",E154=F154,E154&lt;&gt;"unsure"),E154,""))</f>
        <v/>
      </c>
      <c r="I154" s="2">
        <f>IF(AND(OR(E154="met",E154="not_met"),OR(F154="met",F154="not_met")),1,0)</f>
        <v/>
      </c>
      <c r="J154" s="2">
        <f>IF(I154=1,IF(E154=F154,1,0),"")</f>
        <v/>
      </c>
      <c r="K154" s="2" t="n"/>
      <c r="L154" s="2" t="n"/>
      <c r="M154" s="2" t="n"/>
      <c r="N154" s="2">
        <f>IF(OR(K154="",H154=""),"",IF((K154="met")=(H154="met"),1,0))</f>
        <v/>
      </c>
      <c r="O154" s="2">
        <f>IF(OR(L154="",H154=""),"",IF((L154="met")=(H154="met"),1,0))</f>
        <v/>
      </c>
      <c r="P154" s="2">
        <f>IF(OR(M154="",H154=""),"",IF((M154="met")=(H154="met"),1,0))</f>
        <v/>
      </c>
    </row>
    <row r="155">
      <c r="A155" s="2" t="inlineStr">
        <is>
          <t>C02-21</t>
        </is>
      </c>
      <c r="B155" s="2">
        <f>Key!B155</f>
        <v/>
      </c>
      <c r="C155" s="2">
        <f>Key!C155</f>
        <v/>
      </c>
      <c r="D155" s="2">
        <f>IF(Key!D155="","",Key!D155)</f>
        <v/>
      </c>
      <c r="E155" s="2">
        <f>IF(Label_ChatGPT!F38="","",Label_ChatGPT!F38)</f>
        <v/>
      </c>
      <c r="F155" s="2">
        <f>IF(Label_ChatGPT!G38="","",Label_ChatGPT!G38)</f>
        <v/>
      </c>
      <c r="G155" s="5" t="n"/>
      <c r="H155" s="2">
        <f>IF(G155&lt;&gt;"",G155,IF(AND(E155&lt;&gt;"",E155=F155,E155&lt;&gt;"unsure"),E155,""))</f>
        <v/>
      </c>
      <c r="I155" s="2">
        <f>IF(AND(OR(E155="met",E155="not_met"),OR(F155="met",F155="not_met")),1,0)</f>
        <v/>
      </c>
      <c r="J155" s="2">
        <f>IF(I155=1,IF(E155=F155,1,0),"")</f>
        <v/>
      </c>
      <c r="K155" s="2" t="n"/>
      <c r="L155" s="2" t="n"/>
      <c r="M155" s="2" t="n"/>
      <c r="N155" s="2">
        <f>IF(OR(K155="",H155=""),"",IF((K155="met")=(H155="met"),1,0))</f>
        <v/>
      </c>
      <c r="O155" s="2">
        <f>IF(OR(L155="",H155=""),"",IF((L155="met")=(H155="met"),1,0))</f>
        <v/>
      </c>
      <c r="P155" s="2">
        <f>IF(OR(M155="",H155=""),"",IF((M155="met")=(H155="met"),1,0))</f>
        <v/>
      </c>
    </row>
    <row r="156">
      <c r="A156" s="2" t="inlineStr">
        <is>
          <t>C02-22</t>
        </is>
      </c>
      <c r="B156" s="2">
        <f>Key!B156</f>
        <v/>
      </c>
      <c r="C156" s="2">
        <f>Key!C156</f>
        <v/>
      </c>
      <c r="D156" s="2">
        <f>IF(Key!D156="","",Key!D156)</f>
        <v/>
      </c>
      <c r="E156" s="2">
        <f>IF(Label_ChatGPT!F39="","",Label_ChatGPT!F39)</f>
        <v/>
      </c>
      <c r="F156" s="2">
        <f>IF(Label_ChatGPT!G39="","",Label_ChatGPT!G39)</f>
        <v/>
      </c>
      <c r="G156" s="5" t="n"/>
      <c r="H156" s="2">
        <f>IF(G156&lt;&gt;"",G156,IF(AND(E156&lt;&gt;"",E156=F156,E156&lt;&gt;"unsure"),E156,""))</f>
        <v/>
      </c>
      <c r="I156" s="2">
        <f>IF(AND(OR(E156="met",E156="not_met"),OR(F156="met",F156="not_met")),1,0)</f>
        <v/>
      </c>
      <c r="J156" s="2">
        <f>IF(I156=1,IF(E156=F156,1,0),"")</f>
        <v/>
      </c>
      <c r="K156" s="2" t="n"/>
      <c r="L156" s="2" t="n"/>
      <c r="M156" s="2" t="n"/>
      <c r="N156" s="2">
        <f>IF(OR(K156="",H156=""),"",IF((K156="met")=(H156="met"),1,0))</f>
        <v/>
      </c>
      <c r="O156" s="2">
        <f>IF(OR(L156="",H156=""),"",IF((L156="met")=(H156="met"),1,0))</f>
        <v/>
      </c>
      <c r="P156" s="2">
        <f>IF(OR(M156="",H156=""),"",IF((M156="met")=(H156="met"),1,0))</f>
        <v/>
      </c>
    </row>
    <row r="157">
      <c r="A157" s="2" t="inlineStr">
        <is>
          <t>C02-23</t>
        </is>
      </c>
      <c r="B157" s="2">
        <f>Key!B157</f>
        <v/>
      </c>
      <c r="C157" s="2">
        <f>Key!C157</f>
        <v/>
      </c>
      <c r="D157" s="2">
        <f>IF(Key!D157="","",Key!D157)</f>
        <v/>
      </c>
      <c r="E157" s="2">
        <f>IF(Label_ChatGPT!F40="","",Label_ChatGPT!F40)</f>
        <v/>
      </c>
      <c r="F157" s="2">
        <f>IF(Label_ChatGPT!G40="","",Label_ChatGPT!G40)</f>
        <v/>
      </c>
      <c r="G157" s="5" t="n"/>
      <c r="H157" s="2">
        <f>IF(G157&lt;&gt;"",G157,IF(AND(E157&lt;&gt;"",E157=F157,E157&lt;&gt;"unsure"),E157,""))</f>
        <v/>
      </c>
      <c r="I157" s="2">
        <f>IF(AND(OR(E157="met",E157="not_met"),OR(F157="met",F157="not_met")),1,0)</f>
        <v/>
      </c>
      <c r="J157" s="2">
        <f>IF(I157=1,IF(E157=F157,1,0),"")</f>
        <v/>
      </c>
      <c r="K157" s="2" t="n"/>
      <c r="L157" s="2" t="n"/>
      <c r="M157" s="2" t="n"/>
      <c r="N157" s="2">
        <f>IF(OR(K157="",H157=""),"",IF((K157="met")=(H157="met"),1,0))</f>
        <v/>
      </c>
      <c r="O157" s="2">
        <f>IF(OR(L157="",H157=""),"",IF((L157="met")=(H157="met"),1,0))</f>
        <v/>
      </c>
      <c r="P157" s="2">
        <f>IF(OR(M157="",H157=""),"",IF((M157="met")=(H157="met"),1,0))</f>
        <v/>
      </c>
    </row>
    <row r="158">
      <c r="A158" s="2" t="inlineStr">
        <is>
          <t>C02-24</t>
        </is>
      </c>
      <c r="B158" s="2">
        <f>Key!B158</f>
        <v/>
      </c>
      <c r="C158" s="2">
        <f>Key!C158</f>
        <v/>
      </c>
      <c r="D158" s="2">
        <f>IF(Key!D158="","",Key!D158)</f>
        <v/>
      </c>
      <c r="E158" s="2">
        <f>IF(Label_ChatGPT!F41="","",Label_ChatGPT!F41)</f>
        <v/>
      </c>
      <c r="F158" s="2">
        <f>IF(Label_ChatGPT!G41="","",Label_ChatGPT!G41)</f>
        <v/>
      </c>
      <c r="G158" s="5" t="n"/>
      <c r="H158" s="2">
        <f>IF(G158&lt;&gt;"",G158,IF(AND(E158&lt;&gt;"",E158=F158,E158&lt;&gt;"unsure"),E158,""))</f>
        <v/>
      </c>
      <c r="I158" s="2">
        <f>IF(AND(OR(E158="met",E158="not_met"),OR(F158="met",F158="not_met")),1,0)</f>
        <v/>
      </c>
      <c r="J158" s="2">
        <f>IF(I158=1,IF(E158=F158,1,0),"")</f>
        <v/>
      </c>
      <c r="K158" s="2" t="n"/>
      <c r="L158" s="2" t="n"/>
      <c r="M158" s="2" t="n"/>
      <c r="N158" s="2">
        <f>IF(OR(K158="",H158=""),"",IF((K158="met")=(H158="met"),1,0))</f>
        <v/>
      </c>
      <c r="O158" s="2">
        <f>IF(OR(L158="",H158=""),"",IF((L158="met")=(H158="met"),1,0))</f>
        <v/>
      </c>
      <c r="P158" s="2">
        <f>IF(OR(M158="",H158=""),"",IF((M158="met")=(H158="met"),1,0))</f>
        <v/>
      </c>
    </row>
    <row r="159">
      <c r="A159" s="2" t="inlineStr">
        <is>
          <t>C02-25</t>
        </is>
      </c>
      <c r="B159" s="2">
        <f>Key!B159</f>
        <v/>
      </c>
      <c r="C159" s="2">
        <f>Key!C159</f>
        <v/>
      </c>
      <c r="D159" s="2">
        <f>IF(Key!D159="","",Key!D159)</f>
        <v/>
      </c>
      <c r="E159" s="2">
        <f>IF(Label_ChatGPT!F42="","",Label_ChatGPT!F42)</f>
        <v/>
      </c>
      <c r="F159" s="2">
        <f>IF(Label_ChatGPT!G42="","",Label_ChatGPT!G42)</f>
        <v/>
      </c>
      <c r="G159" s="5" t="n"/>
      <c r="H159" s="2">
        <f>IF(G159&lt;&gt;"",G159,IF(AND(E159&lt;&gt;"",E159=F159,E159&lt;&gt;"unsure"),E159,""))</f>
        <v/>
      </c>
      <c r="I159" s="2">
        <f>IF(AND(OR(E159="met",E159="not_met"),OR(F159="met",F159="not_met")),1,0)</f>
        <v/>
      </c>
      <c r="J159" s="2">
        <f>IF(I159=1,IF(E159=F159,1,0),"")</f>
        <v/>
      </c>
      <c r="K159" s="2" t="n"/>
      <c r="L159" s="2" t="n"/>
      <c r="M159" s="2" t="n"/>
      <c r="N159" s="2">
        <f>IF(OR(K159="",H159=""),"",IF((K159="met")=(H159="met"),1,0))</f>
        <v/>
      </c>
      <c r="O159" s="2">
        <f>IF(OR(L159="",H159=""),"",IF((L159="met")=(H159="met"),1,0))</f>
        <v/>
      </c>
      <c r="P159" s="2">
        <f>IF(OR(M159="",H159=""),"",IF((M159="met")=(H159="met"),1,0))</f>
        <v/>
      </c>
    </row>
    <row r="160">
      <c r="A160" s="2" t="inlineStr">
        <is>
          <t>C03-01</t>
        </is>
      </c>
      <c r="B160" s="2">
        <f>Key!B160</f>
        <v/>
      </c>
      <c r="C160" s="2">
        <f>Key!C160</f>
        <v/>
      </c>
      <c r="D160" s="2">
        <f>IF(Key!D160="","",Key!D160)</f>
        <v/>
      </c>
      <c r="E160" s="2">
        <f>IF(Label_ChatGPT!F43="","",Label_ChatGPT!F43)</f>
        <v/>
      </c>
      <c r="F160" s="2">
        <f>IF(Label_ChatGPT!G43="","",Label_ChatGPT!G43)</f>
        <v/>
      </c>
      <c r="G160" s="5" t="n"/>
      <c r="H160" s="2">
        <f>IF(G160&lt;&gt;"",G160,IF(AND(E160&lt;&gt;"",E160=F160,E160&lt;&gt;"unsure"),E160,""))</f>
        <v/>
      </c>
      <c r="I160" s="2">
        <f>IF(AND(OR(E160="met",E160="not_met"),OR(F160="met",F160="not_met")),1,0)</f>
        <v/>
      </c>
      <c r="J160" s="2">
        <f>IF(I160=1,IF(E160=F160,1,0),"")</f>
        <v/>
      </c>
      <c r="K160" s="2" t="n"/>
      <c r="L160" s="2" t="n"/>
      <c r="M160" s="2" t="n"/>
      <c r="N160" s="2">
        <f>IF(OR(K160="",H160=""),"",IF((K160="met")=(H160="met"),1,0))</f>
        <v/>
      </c>
      <c r="O160" s="2">
        <f>IF(OR(L160="",H160=""),"",IF((L160="met")=(H160="met"),1,0))</f>
        <v/>
      </c>
      <c r="P160" s="2">
        <f>IF(OR(M160="",H160=""),"",IF((M160="met")=(H160="met"),1,0))</f>
        <v/>
      </c>
    </row>
    <row r="161">
      <c r="A161" s="2" t="inlineStr">
        <is>
          <t>C03-02</t>
        </is>
      </c>
      <c r="B161" s="2">
        <f>Key!B161</f>
        <v/>
      </c>
      <c r="C161" s="2">
        <f>Key!C161</f>
        <v/>
      </c>
      <c r="D161" s="2">
        <f>IF(Key!D161="","",Key!D161)</f>
        <v/>
      </c>
      <c r="E161" s="2">
        <f>IF(Label_ChatGPT!F44="","",Label_ChatGPT!F44)</f>
        <v/>
      </c>
      <c r="F161" s="2">
        <f>IF(Label_ChatGPT!G44="","",Label_ChatGPT!G44)</f>
        <v/>
      </c>
      <c r="G161" s="5" t="n"/>
      <c r="H161" s="2">
        <f>IF(G161&lt;&gt;"",G161,IF(AND(E161&lt;&gt;"",E161=F161,E161&lt;&gt;"unsure"),E161,""))</f>
        <v/>
      </c>
      <c r="I161" s="2">
        <f>IF(AND(OR(E161="met",E161="not_met"),OR(F161="met",F161="not_met")),1,0)</f>
        <v/>
      </c>
      <c r="J161" s="2">
        <f>IF(I161=1,IF(E161=F161,1,0),"")</f>
        <v/>
      </c>
      <c r="K161" s="2" t="n"/>
      <c r="L161" s="2" t="n"/>
      <c r="M161" s="2" t="n"/>
      <c r="N161" s="2">
        <f>IF(OR(K161="",H161=""),"",IF((K161="met")=(H161="met"),1,0))</f>
        <v/>
      </c>
      <c r="O161" s="2">
        <f>IF(OR(L161="",H161=""),"",IF((L161="met")=(H161="met"),1,0))</f>
        <v/>
      </c>
      <c r="P161" s="2">
        <f>IF(OR(M161="",H161=""),"",IF((M161="met")=(H161="met"),1,0))</f>
        <v/>
      </c>
    </row>
    <row r="162">
      <c r="A162" s="2" t="inlineStr">
        <is>
          <t>C03-03</t>
        </is>
      </c>
      <c r="B162" s="2">
        <f>Key!B162</f>
        <v/>
      </c>
      <c r="C162" s="2">
        <f>Key!C162</f>
        <v/>
      </c>
      <c r="D162" s="2">
        <f>IF(Key!D162="","",Key!D162)</f>
        <v/>
      </c>
      <c r="E162" s="2">
        <f>IF(Label_ChatGPT!F45="","",Label_ChatGPT!F45)</f>
        <v/>
      </c>
      <c r="F162" s="2">
        <f>IF(Label_ChatGPT!G45="","",Label_ChatGPT!G45)</f>
        <v/>
      </c>
      <c r="G162" s="5" t="n"/>
      <c r="H162" s="2">
        <f>IF(G162&lt;&gt;"",G162,IF(AND(E162&lt;&gt;"",E162=F162,E162&lt;&gt;"unsure"),E162,""))</f>
        <v/>
      </c>
      <c r="I162" s="2">
        <f>IF(AND(OR(E162="met",E162="not_met"),OR(F162="met",F162="not_met")),1,0)</f>
        <v/>
      </c>
      <c r="J162" s="2">
        <f>IF(I162=1,IF(E162=F162,1,0),"")</f>
        <v/>
      </c>
      <c r="K162" s="2" t="n"/>
      <c r="L162" s="2" t="n"/>
      <c r="M162" s="2" t="n"/>
      <c r="N162" s="2">
        <f>IF(OR(K162="",H162=""),"",IF((K162="met")=(H162="met"),1,0))</f>
        <v/>
      </c>
      <c r="O162" s="2">
        <f>IF(OR(L162="",H162=""),"",IF((L162="met")=(H162="met"),1,0))</f>
        <v/>
      </c>
      <c r="P162" s="2">
        <f>IF(OR(M162="",H162=""),"",IF((M162="met")=(H162="met"),1,0))</f>
        <v/>
      </c>
    </row>
    <row r="163">
      <c r="A163" s="2" t="inlineStr">
        <is>
          <t>C03-04</t>
        </is>
      </c>
      <c r="B163" s="2">
        <f>Key!B163</f>
        <v/>
      </c>
      <c r="C163" s="2">
        <f>Key!C163</f>
        <v/>
      </c>
      <c r="D163" s="2">
        <f>IF(Key!D163="","",Key!D163)</f>
        <v/>
      </c>
      <c r="E163" s="2">
        <f>IF(Label_ChatGPT!F46="","",Label_ChatGPT!F46)</f>
        <v/>
      </c>
      <c r="F163" s="2">
        <f>IF(Label_ChatGPT!G46="","",Label_ChatGPT!G46)</f>
        <v/>
      </c>
      <c r="G163" s="5" t="n"/>
      <c r="H163" s="2">
        <f>IF(G163&lt;&gt;"",G163,IF(AND(E163&lt;&gt;"",E163=F163,E163&lt;&gt;"unsure"),E163,""))</f>
        <v/>
      </c>
      <c r="I163" s="2">
        <f>IF(AND(OR(E163="met",E163="not_met"),OR(F163="met",F163="not_met")),1,0)</f>
        <v/>
      </c>
      <c r="J163" s="2">
        <f>IF(I163=1,IF(E163=F163,1,0),"")</f>
        <v/>
      </c>
      <c r="K163" s="2" t="n"/>
      <c r="L163" s="2" t="n"/>
      <c r="M163" s="2" t="n"/>
      <c r="N163" s="2">
        <f>IF(OR(K163="",H163=""),"",IF((K163="met")=(H163="met"),1,0))</f>
        <v/>
      </c>
      <c r="O163" s="2">
        <f>IF(OR(L163="",H163=""),"",IF((L163="met")=(H163="met"),1,0))</f>
        <v/>
      </c>
      <c r="P163" s="2">
        <f>IF(OR(M163="",H163=""),"",IF((M163="met")=(H163="met"),1,0))</f>
        <v/>
      </c>
    </row>
    <row r="164">
      <c r="A164" s="2" t="inlineStr">
        <is>
          <t>C03-05</t>
        </is>
      </c>
      <c r="B164" s="2">
        <f>Key!B164</f>
        <v/>
      </c>
      <c r="C164" s="2">
        <f>Key!C164</f>
        <v/>
      </c>
      <c r="D164" s="2">
        <f>IF(Key!D164="","",Key!D164)</f>
        <v/>
      </c>
      <c r="E164" s="2">
        <f>IF(Label_ChatGPT!F47="","",Label_ChatGPT!F47)</f>
        <v/>
      </c>
      <c r="F164" s="2">
        <f>IF(Label_ChatGPT!G47="","",Label_ChatGPT!G47)</f>
        <v/>
      </c>
      <c r="G164" s="5" t="n"/>
      <c r="H164" s="2">
        <f>IF(G164&lt;&gt;"",G164,IF(AND(E164&lt;&gt;"",E164=F164,E164&lt;&gt;"unsure"),E164,""))</f>
        <v/>
      </c>
      <c r="I164" s="2">
        <f>IF(AND(OR(E164="met",E164="not_met"),OR(F164="met",F164="not_met")),1,0)</f>
        <v/>
      </c>
      <c r="J164" s="2">
        <f>IF(I164=1,IF(E164=F164,1,0),"")</f>
        <v/>
      </c>
      <c r="K164" s="2" t="n"/>
      <c r="L164" s="2" t="n"/>
      <c r="M164" s="2" t="n"/>
      <c r="N164" s="2">
        <f>IF(OR(K164="",H164=""),"",IF((K164="met")=(H164="met"),1,0))</f>
        <v/>
      </c>
      <c r="O164" s="2">
        <f>IF(OR(L164="",H164=""),"",IF((L164="met")=(H164="met"),1,0))</f>
        <v/>
      </c>
      <c r="P164" s="2">
        <f>IF(OR(M164="",H164=""),"",IF((M164="met")=(H164="met"),1,0))</f>
        <v/>
      </c>
    </row>
    <row r="165">
      <c r="A165" s="2" t="inlineStr">
        <is>
          <t>C03-06</t>
        </is>
      </c>
      <c r="B165" s="2">
        <f>Key!B165</f>
        <v/>
      </c>
      <c r="C165" s="2">
        <f>Key!C165</f>
        <v/>
      </c>
      <c r="D165" s="2">
        <f>IF(Key!D165="","",Key!D165)</f>
        <v/>
      </c>
      <c r="E165" s="2">
        <f>IF(Label_ChatGPT!F48="","",Label_ChatGPT!F48)</f>
        <v/>
      </c>
      <c r="F165" s="2">
        <f>IF(Label_ChatGPT!G48="","",Label_ChatGPT!G48)</f>
        <v/>
      </c>
      <c r="G165" s="5" t="n"/>
      <c r="H165" s="2">
        <f>IF(G165&lt;&gt;"",G165,IF(AND(E165&lt;&gt;"",E165=F165,E165&lt;&gt;"unsure"),E165,""))</f>
        <v/>
      </c>
      <c r="I165" s="2">
        <f>IF(AND(OR(E165="met",E165="not_met"),OR(F165="met",F165="not_met")),1,0)</f>
        <v/>
      </c>
      <c r="J165" s="2">
        <f>IF(I165=1,IF(E165=F165,1,0),"")</f>
        <v/>
      </c>
      <c r="K165" s="2" t="n"/>
      <c r="L165" s="2" t="n"/>
      <c r="M165" s="2" t="n"/>
      <c r="N165" s="2">
        <f>IF(OR(K165="",H165=""),"",IF((K165="met")=(H165="met"),1,0))</f>
        <v/>
      </c>
      <c r="O165" s="2">
        <f>IF(OR(L165="",H165=""),"",IF((L165="met")=(H165="met"),1,0))</f>
        <v/>
      </c>
      <c r="P165" s="2">
        <f>IF(OR(M165="",H165=""),"",IF((M165="met")=(H165="met"),1,0))</f>
        <v/>
      </c>
    </row>
    <row r="166">
      <c r="A166" s="2" t="inlineStr">
        <is>
          <t>C03-07</t>
        </is>
      </c>
      <c r="B166" s="2">
        <f>Key!B166</f>
        <v/>
      </c>
      <c r="C166" s="2">
        <f>Key!C166</f>
        <v/>
      </c>
      <c r="D166" s="2">
        <f>IF(Key!D166="","",Key!D166)</f>
        <v/>
      </c>
      <c r="E166" s="2">
        <f>IF(Label_ChatGPT!F49="","",Label_ChatGPT!F49)</f>
        <v/>
      </c>
      <c r="F166" s="2">
        <f>IF(Label_ChatGPT!G49="","",Label_ChatGPT!G49)</f>
        <v/>
      </c>
      <c r="G166" s="5" t="n"/>
      <c r="H166" s="2">
        <f>IF(G166&lt;&gt;"",G166,IF(AND(E166&lt;&gt;"",E166=F166,E166&lt;&gt;"unsure"),E166,""))</f>
        <v/>
      </c>
      <c r="I166" s="2">
        <f>IF(AND(OR(E166="met",E166="not_met"),OR(F166="met",F166="not_met")),1,0)</f>
        <v/>
      </c>
      <c r="J166" s="2">
        <f>IF(I166=1,IF(E166=F166,1,0),"")</f>
        <v/>
      </c>
      <c r="K166" s="2" t="n"/>
      <c r="L166" s="2" t="n"/>
      <c r="M166" s="2" t="n"/>
      <c r="N166" s="2">
        <f>IF(OR(K166="",H166=""),"",IF((K166="met")=(H166="met"),1,0))</f>
        <v/>
      </c>
      <c r="O166" s="2">
        <f>IF(OR(L166="",H166=""),"",IF((L166="met")=(H166="met"),1,0))</f>
        <v/>
      </c>
      <c r="P166" s="2">
        <f>IF(OR(M166="",H166=""),"",IF((M166="met")=(H166="met"),1,0))</f>
        <v/>
      </c>
    </row>
    <row r="167">
      <c r="A167" s="2" t="inlineStr">
        <is>
          <t>C03-08</t>
        </is>
      </c>
      <c r="B167" s="2">
        <f>Key!B167</f>
        <v/>
      </c>
      <c r="C167" s="2">
        <f>Key!C167</f>
        <v/>
      </c>
      <c r="D167" s="2">
        <f>IF(Key!D167="","",Key!D167)</f>
        <v/>
      </c>
      <c r="E167" s="2">
        <f>IF(Label_ChatGPT!F50="","",Label_ChatGPT!F50)</f>
        <v/>
      </c>
      <c r="F167" s="2">
        <f>IF(Label_ChatGPT!G50="","",Label_ChatGPT!G50)</f>
        <v/>
      </c>
      <c r="G167" s="5" t="n"/>
      <c r="H167" s="2">
        <f>IF(G167&lt;&gt;"",G167,IF(AND(E167&lt;&gt;"",E167=F167,E167&lt;&gt;"unsure"),E167,""))</f>
        <v/>
      </c>
      <c r="I167" s="2">
        <f>IF(AND(OR(E167="met",E167="not_met"),OR(F167="met",F167="not_met")),1,0)</f>
        <v/>
      </c>
      <c r="J167" s="2">
        <f>IF(I167=1,IF(E167=F167,1,0),"")</f>
        <v/>
      </c>
      <c r="K167" s="2" t="n"/>
      <c r="L167" s="2" t="n"/>
      <c r="M167" s="2" t="n"/>
      <c r="N167" s="2">
        <f>IF(OR(K167="",H167=""),"",IF((K167="met")=(H167="met"),1,0))</f>
        <v/>
      </c>
      <c r="O167" s="2">
        <f>IF(OR(L167="",H167=""),"",IF((L167="met")=(H167="met"),1,0))</f>
        <v/>
      </c>
      <c r="P167" s="2">
        <f>IF(OR(M167="",H167=""),"",IF((M167="met")=(H167="met"),1,0))</f>
        <v/>
      </c>
    </row>
    <row r="168">
      <c r="A168" s="2" t="inlineStr">
        <is>
          <t>C03-09</t>
        </is>
      </c>
      <c r="B168" s="2">
        <f>Key!B168</f>
        <v/>
      </c>
      <c r="C168" s="2">
        <f>Key!C168</f>
        <v/>
      </c>
      <c r="D168" s="2">
        <f>IF(Key!D168="","",Key!D168)</f>
        <v/>
      </c>
      <c r="E168" s="2">
        <f>IF(Label_ChatGPT!F51="","",Label_ChatGPT!F51)</f>
        <v/>
      </c>
      <c r="F168" s="2">
        <f>IF(Label_ChatGPT!G51="","",Label_ChatGPT!G51)</f>
        <v/>
      </c>
      <c r="G168" s="5" t="n"/>
      <c r="H168" s="2">
        <f>IF(G168&lt;&gt;"",G168,IF(AND(E168&lt;&gt;"",E168=F168,E168&lt;&gt;"unsure"),E168,""))</f>
        <v/>
      </c>
      <c r="I168" s="2">
        <f>IF(AND(OR(E168="met",E168="not_met"),OR(F168="met",F168="not_met")),1,0)</f>
        <v/>
      </c>
      <c r="J168" s="2">
        <f>IF(I168=1,IF(E168=F168,1,0),"")</f>
        <v/>
      </c>
      <c r="K168" s="2" t="n"/>
      <c r="L168" s="2" t="n"/>
      <c r="M168" s="2" t="n"/>
      <c r="N168" s="2">
        <f>IF(OR(K168="",H168=""),"",IF((K168="met")=(H168="met"),1,0))</f>
        <v/>
      </c>
      <c r="O168" s="2">
        <f>IF(OR(L168="",H168=""),"",IF((L168="met")=(H168="met"),1,0))</f>
        <v/>
      </c>
      <c r="P168" s="2">
        <f>IF(OR(M168="",H168=""),"",IF((M168="met")=(H168="met"),1,0))</f>
        <v/>
      </c>
    </row>
    <row r="169">
      <c r="A169" s="2" t="inlineStr">
        <is>
          <t>C03-10</t>
        </is>
      </c>
      <c r="B169" s="2">
        <f>Key!B169</f>
        <v/>
      </c>
      <c r="C169" s="2">
        <f>Key!C169</f>
        <v/>
      </c>
      <c r="D169" s="2">
        <f>IF(Key!D169="","",Key!D169)</f>
        <v/>
      </c>
      <c r="E169" s="2">
        <f>IF(Label_ChatGPT!F52="","",Label_ChatGPT!F52)</f>
        <v/>
      </c>
      <c r="F169" s="2">
        <f>IF(Label_ChatGPT!G52="","",Label_ChatGPT!G52)</f>
        <v/>
      </c>
      <c r="G169" s="5" t="n"/>
      <c r="H169" s="2">
        <f>IF(G169&lt;&gt;"",G169,IF(AND(E169&lt;&gt;"",E169=F169,E169&lt;&gt;"unsure"),E169,""))</f>
        <v/>
      </c>
      <c r="I169" s="2">
        <f>IF(AND(OR(E169="met",E169="not_met"),OR(F169="met",F169="not_met")),1,0)</f>
        <v/>
      </c>
      <c r="J169" s="2">
        <f>IF(I169=1,IF(E169=F169,1,0),"")</f>
        <v/>
      </c>
      <c r="K169" s="2" t="n"/>
      <c r="L169" s="2" t="n"/>
      <c r="M169" s="2" t="n"/>
      <c r="N169" s="2">
        <f>IF(OR(K169="",H169=""),"",IF((K169="met")=(H169="met"),1,0))</f>
        <v/>
      </c>
      <c r="O169" s="2">
        <f>IF(OR(L169="",H169=""),"",IF((L169="met")=(H169="met"),1,0))</f>
        <v/>
      </c>
      <c r="P169" s="2">
        <f>IF(OR(M169="",H169=""),"",IF((M169="met")=(H169="met"),1,0))</f>
        <v/>
      </c>
    </row>
    <row r="170">
      <c r="A170" s="2" t="inlineStr">
        <is>
          <t>C03-11</t>
        </is>
      </c>
      <c r="B170" s="2">
        <f>Key!B170</f>
        <v/>
      </c>
      <c r="C170" s="2">
        <f>Key!C170</f>
        <v/>
      </c>
      <c r="D170" s="2">
        <f>IF(Key!D170="","",Key!D170)</f>
        <v/>
      </c>
      <c r="E170" s="2">
        <f>IF(Label_ChatGPT!F53="","",Label_ChatGPT!F53)</f>
        <v/>
      </c>
      <c r="F170" s="2">
        <f>IF(Label_ChatGPT!G53="","",Label_ChatGPT!G53)</f>
        <v/>
      </c>
      <c r="G170" s="5" t="n"/>
      <c r="H170" s="2">
        <f>IF(G170&lt;&gt;"",G170,IF(AND(E170&lt;&gt;"",E170=F170,E170&lt;&gt;"unsure"),E170,""))</f>
        <v/>
      </c>
      <c r="I170" s="2">
        <f>IF(AND(OR(E170="met",E170="not_met"),OR(F170="met",F170="not_met")),1,0)</f>
        <v/>
      </c>
      <c r="J170" s="2">
        <f>IF(I170=1,IF(E170=F170,1,0),"")</f>
        <v/>
      </c>
      <c r="K170" s="2" t="n"/>
      <c r="L170" s="2" t="n"/>
      <c r="M170" s="2" t="n"/>
      <c r="N170" s="2">
        <f>IF(OR(K170="",H170=""),"",IF((K170="met")=(H170="met"),1,0))</f>
        <v/>
      </c>
      <c r="O170" s="2">
        <f>IF(OR(L170="",H170=""),"",IF((L170="met")=(H170="met"),1,0))</f>
        <v/>
      </c>
      <c r="P170" s="2">
        <f>IF(OR(M170="",H170=""),"",IF((M170="met")=(H170="met"),1,0))</f>
        <v/>
      </c>
    </row>
    <row r="171">
      <c r="A171" s="2" t="inlineStr">
        <is>
          <t>C03-12</t>
        </is>
      </c>
      <c r="B171" s="2">
        <f>Key!B171</f>
        <v/>
      </c>
      <c r="C171" s="2">
        <f>Key!C171</f>
        <v/>
      </c>
      <c r="D171" s="2">
        <f>IF(Key!D171="","",Key!D171)</f>
        <v/>
      </c>
      <c r="E171" s="2">
        <f>IF(Label_ChatGPT!F54="","",Label_ChatGPT!F54)</f>
        <v/>
      </c>
      <c r="F171" s="2">
        <f>IF(Label_ChatGPT!G54="","",Label_ChatGPT!G54)</f>
        <v/>
      </c>
      <c r="G171" s="5" t="n"/>
      <c r="H171" s="2">
        <f>IF(G171&lt;&gt;"",G171,IF(AND(E171&lt;&gt;"",E171=F171,E171&lt;&gt;"unsure"),E171,""))</f>
        <v/>
      </c>
      <c r="I171" s="2">
        <f>IF(AND(OR(E171="met",E171="not_met"),OR(F171="met",F171="not_met")),1,0)</f>
        <v/>
      </c>
      <c r="J171" s="2">
        <f>IF(I171=1,IF(E171=F171,1,0),"")</f>
        <v/>
      </c>
      <c r="K171" s="2" t="n"/>
      <c r="L171" s="2" t="n"/>
      <c r="M171" s="2" t="n"/>
      <c r="N171" s="2">
        <f>IF(OR(K171="",H171=""),"",IF((K171="met")=(H171="met"),1,0))</f>
        <v/>
      </c>
      <c r="O171" s="2">
        <f>IF(OR(L171="",H171=""),"",IF((L171="met")=(H171="met"),1,0))</f>
        <v/>
      </c>
      <c r="P171" s="2">
        <f>IF(OR(M171="",H171=""),"",IF((M171="met")=(H171="met"),1,0))</f>
        <v/>
      </c>
    </row>
    <row r="172">
      <c r="A172" s="2" t="inlineStr">
        <is>
          <t>C03-13</t>
        </is>
      </c>
      <c r="B172" s="2">
        <f>Key!B172</f>
        <v/>
      </c>
      <c r="C172" s="2">
        <f>Key!C172</f>
        <v/>
      </c>
      <c r="D172" s="2">
        <f>IF(Key!D172="","",Key!D172)</f>
        <v/>
      </c>
      <c r="E172" s="2">
        <f>IF(Label_ChatGPT!F55="","",Label_ChatGPT!F55)</f>
        <v/>
      </c>
      <c r="F172" s="2">
        <f>IF(Label_ChatGPT!G55="","",Label_ChatGPT!G55)</f>
        <v/>
      </c>
      <c r="G172" s="5" t="n"/>
      <c r="H172" s="2">
        <f>IF(G172&lt;&gt;"",G172,IF(AND(E172&lt;&gt;"",E172=F172,E172&lt;&gt;"unsure"),E172,""))</f>
        <v/>
      </c>
      <c r="I172" s="2">
        <f>IF(AND(OR(E172="met",E172="not_met"),OR(F172="met",F172="not_met")),1,0)</f>
        <v/>
      </c>
      <c r="J172" s="2">
        <f>IF(I172=1,IF(E172=F172,1,0),"")</f>
        <v/>
      </c>
      <c r="K172" s="2" t="n"/>
      <c r="L172" s="2" t="n"/>
      <c r="M172" s="2" t="n"/>
      <c r="N172" s="2">
        <f>IF(OR(K172="",H172=""),"",IF((K172="met")=(H172="met"),1,0))</f>
        <v/>
      </c>
      <c r="O172" s="2">
        <f>IF(OR(L172="",H172=""),"",IF((L172="met")=(H172="met"),1,0))</f>
        <v/>
      </c>
      <c r="P172" s="2">
        <f>IF(OR(M172="",H172=""),"",IF((M172="met")=(H172="met"),1,0))</f>
        <v/>
      </c>
    </row>
    <row r="173">
      <c r="A173" s="2" t="inlineStr">
        <is>
          <t>C03-14</t>
        </is>
      </c>
      <c r="B173" s="2">
        <f>Key!B173</f>
        <v/>
      </c>
      <c r="C173" s="2">
        <f>Key!C173</f>
        <v/>
      </c>
      <c r="D173" s="2">
        <f>IF(Key!D173="","",Key!D173)</f>
        <v/>
      </c>
      <c r="E173" s="2">
        <f>IF(Label_ChatGPT!F56="","",Label_ChatGPT!F56)</f>
        <v/>
      </c>
      <c r="F173" s="2">
        <f>IF(Label_ChatGPT!G56="","",Label_ChatGPT!G56)</f>
        <v/>
      </c>
      <c r="G173" s="5" t="n"/>
      <c r="H173" s="2">
        <f>IF(G173&lt;&gt;"",G173,IF(AND(E173&lt;&gt;"",E173=F173,E173&lt;&gt;"unsure"),E173,""))</f>
        <v/>
      </c>
      <c r="I173" s="2">
        <f>IF(AND(OR(E173="met",E173="not_met"),OR(F173="met",F173="not_met")),1,0)</f>
        <v/>
      </c>
      <c r="J173" s="2">
        <f>IF(I173=1,IF(E173=F173,1,0),"")</f>
        <v/>
      </c>
      <c r="K173" s="2" t="n"/>
      <c r="L173" s="2" t="n"/>
      <c r="M173" s="2" t="n"/>
      <c r="N173" s="2">
        <f>IF(OR(K173="",H173=""),"",IF((K173="met")=(H173="met"),1,0))</f>
        <v/>
      </c>
      <c r="O173" s="2">
        <f>IF(OR(L173="",H173=""),"",IF((L173="met")=(H173="met"),1,0))</f>
        <v/>
      </c>
      <c r="P173" s="2">
        <f>IF(OR(M173="",H173=""),"",IF((M173="met")=(H173="met"),1,0))</f>
        <v/>
      </c>
    </row>
    <row r="174">
      <c r="A174" s="2" t="inlineStr">
        <is>
          <t>C03-15</t>
        </is>
      </c>
      <c r="B174" s="2">
        <f>Key!B174</f>
        <v/>
      </c>
      <c r="C174" s="2">
        <f>Key!C174</f>
        <v/>
      </c>
      <c r="D174" s="2">
        <f>IF(Key!D174="","",Key!D174)</f>
        <v/>
      </c>
      <c r="E174" s="2">
        <f>IF(Label_ChatGPT!F57="","",Label_ChatGPT!F57)</f>
        <v/>
      </c>
      <c r="F174" s="2">
        <f>IF(Label_ChatGPT!G57="","",Label_ChatGPT!G57)</f>
        <v/>
      </c>
      <c r="G174" s="5" t="n"/>
      <c r="H174" s="2">
        <f>IF(G174&lt;&gt;"",G174,IF(AND(E174&lt;&gt;"",E174=F174,E174&lt;&gt;"unsure"),E174,""))</f>
        <v/>
      </c>
      <c r="I174" s="2">
        <f>IF(AND(OR(E174="met",E174="not_met"),OR(F174="met",F174="not_met")),1,0)</f>
        <v/>
      </c>
      <c r="J174" s="2">
        <f>IF(I174=1,IF(E174=F174,1,0),"")</f>
        <v/>
      </c>
      <c r="K174" s="2" t="n"/>
      <c r="L174" s="2" t="n"/>
      <c r="M174" s="2" t="n"/>
      <c r="N174" s="2">
        <f>IF(OR(K174="",H174=""),"",IF((K174="met")=(H174="met"),1,0))</f>
        <v/>
      </c>
      <c r="O174" s="2">
        <f>IF(OR(L174="",H174=""),"",IF((L174="met")=(H174="met"),1,0))</f>
        <v/>
      </c>
      <c r="P174" s="2">
        <f>IF(OR(M174="",H174=""),"",IF((M174="met")=(H174="met"),1,0))</f>
        <v/>
      </c>
    </row>
    <row r="175">
      <c r="A175" s="2" t="inlineStr">
        <is>
          <t>C03-16</t>
        </is>
      </c>
      <c r="B175" s="2">
        <f>Key!B175</f>
        <v/>
      </c>
      <c r="C175" s="2">
        <f>Key!C175</f>
        <v/>
      </c>
      <c r="D175" s="2">
        <f>IF(Key!D175="","",Key!D175)</f>
        <v/>
      </c>
      <c r="E175" s="2">
        <f>IF(Label_ChatGPT!F58="","",Label_ChatGPT!F58)</f>
        <v/>
      </c>
      <c r="F175" s="2">
        <f>IF(Label_ChatGPT!G58="","",Label_ChatGPT!G58)</f>
        <v/>
      </c>
      <c r="G175" s="5" t="n"/>
      <c r="H175" s="2">
        <f>IF(G175&lt;&gt;"",G175,IF(AND(E175&lt;&gt;"",E175=F175,E175&lt;&gt;"unsure"),E175,""))</f>
        <v/>
      </c>
      <c r="I175" s="2">
        <f>IF(AND(OR(E175="met",E175="not_met"),OR(F175="met",F175="not_met")),1,0)</f>
        <v/>
      </c>
      <c r="J175" s="2">
        <f>IF(I175=1,IF(E175=F175,1,0),"")</f>
        <v/>
      </c>
      <c r="K175" s="2" t="n"/>
      <c r="L175" s="2" t="n"/>
      <c r="M175" s="2" t="n"/>
      <c r="N175" s="2">
        <f>IF(OR(K175="",H175=""),"",IF((K175="met")=(H175="met"),1,0))</f>
        <v/>
      </c>
      <c r="O175" s="2">
        <f>IF(OR(L175="",H175=""),"",IF((L175="met")=(H175="met"),1,0))</f>
        <v/>
      </c>
      <c r="P175" s="2">
        <f>IF(OR(M175="",H175=""),"",IF((M175="met")=(H175="met"),1,0))</f>
        <v/>
      </c>
    </row>
    <row r="176">
      <c r="A176" s="2" t="inlineStr">
        <is>
          <t>C03-17</t>
        </is>
      </c>
      <c r="B176" s="2">
        <f>Key!B176</f>
        <v/>
      </c>
      <c r="C176" s="2">
        <f>Key!C176</f>
        <v/>
      </c>
      <c r="D176" s="2">
        <f>IF(Key!D176="","",Key!D176)</f>
        <v/>
      </c>
      <c r="E176" s="2">
        <f>IF(Label_ChatGPT!F59="","",Label_ChatGPT!F59)</f>
        <v/>
      </c>
      <c r="F176" s="2">
        <f>IF(Label_ChatGPT!G59="","",Label_ChatGPT!G59)</f>
        <v/>
      </c>
      <c r="G176" s="5" t="n"/>
      <c r="H176" s="2">
        <f>IF(G176&lt;&gt;"",G176,IF(AND(E176&lt;&gt;"",E176=F176,E176&lt;&gt;"unsure"),E176,""))</f>
        <v/>
      </c>
      <c r="I176" s="2">
        <f>IF(AND(OR(E176="met",E176="not_met"),OR(F176="met",F176="not_met")),1,0)</f>
        <v/>
      </c>
      <c r="J176" s="2">
        <f>IF(I176=1,IF(E176=F176,1,0),"")</f>
        <v/>
      </c>
      <c r="K176" s="2" t="n"/>
      <c r="L176" s="2" t="n"/>
      <c r="M176" s="2" t="n"/>
      <c r="N176" s="2">
        <f>IF(OR(K176="",H176=""),"",IF((K176="met")=(H176="met"),1,0))</f>
        <v/>
      </c>
      <c r="O176" s="2">
        <f>IF(OR(L176="",H176=""),"",IF((L176="met")=(H176="met"),1,0))</f>
        <v/>
      </c>
      <c r="P176" s="2">
        <f>IF(OR(M176="",H176=""),"",IF((M176="met")=(H176="met"),1,0))</f>
        <v/>
      </c>
    </row>
    <row r="177">
      <c r="A177" s="2" t="inlineStr">
        <is>
          <t>C03-18</t>
        </is>
      </c>
      <c r="B177" s="2">
        <f>Key!B177</f>
        <v/>
      </c>
      <c r="C177" s="2">
        <f>Key!C177</f>
        <v/>
      </c>
      <c r="D177" s="2">
        <f>IF(Key!D177="","",Key!D177)</f>
        <v/>
      </c>
      <c r="E177" s="2">
        <f>IF(Label_ChatGPT!F60="","",Label_ChatGPT!F60)</f>
        <v/>
      </c>
      <c r="F177" s="2">
        <f>IF(Label_ChatGPT!G60="","",Label_ChatGPT!G60)</f>
        <v/>
      </c>
      <c r="G177" s="5" t="n"/>
      <c r="H177" s="2">
        <f>IF(G177&lt;&gt;"",G177,IF(AND(E177&lt;&gt;"",E177=F177,E177&lt;&gt;"unsure"),E177,""))</f>
        <v/>
      </c>
      <c r="I177" s="2">
        <f>IF(AND(OR(E177="met",E177="not_met"),OR(F177="met",F177="not_met")),1,0)</f>
        <v/>
      </c>
      <c r="J177" s="2">
        <f>IF(I177=1,IF(E177=F177,1,0),"")</f>
        <v/>
      </c>
      <c r="K177" s="2" t="n"/>
      <c r="L177" s="2" t="n"/>
      <c r="M177" s="2" t="n"/>
      <c r="N177" s="2">
        <f>IF(OR(K177="",H177=""),"",IF((K177="met")=(H177="met"),1,0))</f>
        <v/>
      </c>
      <c r="O177" s="2">
        <f>IF(OR(L177="",H177=""),"",IF((L177="met")=(H177="met"),1,0))</f>
        <v/>
      </c>
      <c r="P177" s="2">
        <f>IF(OR(M177="",H177=""),"",IF((M177="met")=(H177="met"),1,0))</f>
        <v/>
      </c>
    </row>
    <row r="178">
      <c r="A178" s="2" t="inlineStr">
        <is>
          <t>C03-19</t>
        </is>
      </c>
      <c r="B178" s="2">
        <f>Key!B178</f>
        <v/>
      </c>
      <c r="C178" s="2">
        <f>Key!C178</f>
        <v/>
      </c>
      <c r="D178" s="2">
        <f>IF(Key!D178="","",Key!D178)</f>
        <v/>
      </c>
      <c r="E178" s="2">
        <f>IF(Label_ChatGPT!F61="","",Label_ChatGPT!F61)</f>
        <v/>
      </c>
      <c r="F178" s="2">
        <f>IF(Label_ChatGPT!G61="","",Label_ChatGPT!G61)</f>
        <v/>
      </c>
      <c r="G178" s="5" t="n"/>
      <c r="H178" s="2">
        <f>IF(G178&lt;&gt;"",G178,IF(AND(E178&lt;&gt;"",E178=F178,E178&lt;&gt;"unsure"),E178,""))</f>
        <v/>
      </c>
      <c r="I178" s="2">
        <f>IF(AND(OR(E178="met",E178="not_met"),OR(F178="met",F178="not_met")),1,0)</f>
        <v/>
      </c>
      <c r="J178" s="2">
        <f>IF(I178=1,IF(E178=F178,1,0),"")</f>
        <v/>
      </c>
      <c r="K178" s="2" t="n"/>
      <c r="L178" s="2" t="n"/>
      <c r="M178" s="2" t="n"/>
      <c r="N178" s="2">
        <f>IF(OR(K178="",H178=""),"",IF((K178="met")=(H178="met"),1,0))</f>
        <v/>
      </c>
      <c r="O178" s="2">
        <f>IF(OR(L178="",H178=""),"",IF((L178="met")=(H178="met"),1,0))</f>
        <v/>
      </c>
      <c r="P178" s="2">
        <f>IF(OR(M178="",H178=""),"",IF((M178="met")=(H178="met"),1,0))</f>
        <v/>
      </c>
    </row>
    <row r="179">
      <c r="A179" s="2" t="inlineStr">
        <is>
          <t>C03-20</t>
        </is>
      </c>
      <c r="B179" s="2">
        <f>Key!B179</f>
        <v/>
      </c>
      <c r="C179" s="2">
        <f>Key!C179</f>
        <v/>
      </c>
      <c r="D179" s="2">
        <f>IF(Key!D179="","",Key!D179)</f>
        <v/>
      </c>
      <c r="E179" s="2">
        <f>IF(Label_ChatGPT!F62="","",Label_ChatGPT!F62)</f>
        <v/>
      </c>
      <c r="F179" s="2">
        <f>IF(Label_ChatGPT!G62="","",Label_ChatGPT!G62)</f>
        <v/>
      </c>
      <c r="G179" s="5" t="n"/>
      <c r="H179" s="2">
        <f>IF(G179&lt;&gt;"",G179,IF(AND(E179&lt;&gt;"",E179=F179,E179&lt;&gt;"unsure"),E179,""))</f>
        <v/>
      </c>
      <c r="I179" s="2">
        <f>IF(AND(OR(E179="met",E179="not_met"),OR(F179="met",F179="not_met")),1,0)</f>
        <v/>
      </c>
      <c r="J179" s="2">
        <f>IF(I179=1,IF(E179=F179,1,0),"")</f>
        <v/>
      </c>
      <c r="K179" s="2" t="n"/>
      <c r="L179" s="2" t="n"/>
      <c r="M179" s="2" t="n"/>
      <c r="N179" s="2">
        <f>IF(OR(K179="",H179=""),"",IF((K179="met")=(H179="met"),1,0))</f>
        <v/>
      </c>
      <c r="O179" s="2">
        <f>IF(OR(L179="",H179=""),"",IF((L179="met")=(H179="met"),1,0))</f>
        <v/>
      </c>
      <c r="P179" s="2">
        <f>IF(OR(M179="",H179=""),"",IF((M179="met")=(H179="met"),1,0))</f>
        <v/>
      </c>
    </row>
    <row r="180">
      <c r="A180" s="2" t="inlineStr">
        <is>
          <t>C03-21</t>
        </is>
      </c>
      <c r="B180" s="2">
        <f>Key!B180</f>
        <v/>
      </c>
      <c r="C180" s="2">
        <f>Key!C180</f>
        <v/>
      </c>
      <c r="D180" s="2">
        <f>IF(Key!D180="","",Key!D180)</f>
        <v/>
      </c>
      <c r="E180" s="2">
        <f>IF(Label_ChatGPT!F63="","",Label_ChatGPT!F63)</f>
        <v/>
      </c>
      <c r="F180" s="2">
        <f>IF(Label_ChatGPT!G63="","",Label_ChatGPT!G63)</f>
        <v/>
      </c>
      <c r="G180" s="5" t="n"/>
      <c r="H180" s="2">
        <f>IF(G180&lt;&gt;"",G180,IF(AND(E180&lt;&gt;"",E180=F180,E180&lt;&gt;"unsure"),E180,""))</f>
        <v/>
      </c>
      <c r="I180" s="2">
        <f>IF(AND(OR(E180="met",E180="not_met"),OR(F180="met",F180="not_met")),1,0)</f>
        <v/>
      </c>
      <c r="J180" s="2">
        <f>IF(I180=1,IF(E180=F180,1,0),"")</f>
        <v/>
      </c>
      <c r="K180" s="2" t="n"/>
      <c r="L180" s="2" t="n"/>
      <c r="M180" s="2" t="n"/>
      <c r="N180" s="2">
        <f>IF(OR(K180="",H180=""),"",IF((K180="met")=(H180="met"),1,0))</f>
        <v/>
      </c>
      <c r="O180" s="2">
        <f>IF(OR(L180="",H180=""),"",IF((L180="met")=(H180="met"),1,0))</f>
        <v/>
      </c>
      <c r="P180" s="2">
        <f>IF(OR(M180="",H180=""),"",IF((M180="met")=(H180="met"),1,0))</f>
        <v/>
      </c>
    </row>
    <row r="181">
      <c r="A181" s="2" t="inlineStr">
        <is>
          <t>C03-22</t>
        </is>
      </c>
      <c r="B181" s="2">
        <f>Key!B181</f>
        <v/>
      </c>
      <c r="C181" s="2">
        <f>Key!C181</f>
        <v/>
      </c>
      <c r="D181" s="2">
        <f>IF(Key!D181="","",Key!D181)</f>
        <v/>
      </c>
      <c r="E181" s="2">
        <f>IF(Label_ChatGPT!F64="","",Label_ChatGPT!F64)</f>
        <v/>
      </c>
      <c r="F181" s="2">
        <f>IF(Label_ChatGPT!G64="","",Label_ChatGPT!G64)</f>
        <v/>
      </c>
      <c r="G181" s="5" t="n"/>
      <c r="H181" s="2">
        <f>IF(G181&lt;&gt;"",G181,IF(AND(E181&lt;&gt;"",E181=F181,E181&lt;&gt;"unsure"),E181,""))</f>
        <v/>
      </c>
      <c r="I181" s="2">
        <f>IF(AND(OR(E181="met",E181="not_met"),OR(F181="met",F181="not_met")),1,0)</f>
        <v/>
      </c>
      <c r="J181" s="2">
        <f>IF(I181=1,IF(E181=F181,1,0),"")</f>
        <v/>
      </c>
      <c r="K181" s="2" t="n"/>
      <c r="L181" s="2" t="n"/>
      <c r="M181" s="2" t="n"/>
      <c r="N181" s="2">
        <f>IF(OR(K181="",H181=""),"",IF((K181="met")=(H181="met"),1,0))</f>
        <v/>
      </c>
      <c r="O181" s="2">
        <f>IF(OR(L181="",H181=""),"",IF((L181="met")=(H181="met"),1,0))</f>
        <v/>
      </c>
      <c r="P181" s="2">
        <f>IF(OR(M181="",H181=""),"",IF((M181="met")=(H181="met"),1,0))</f>
        <v/>
      </c>
    </row>
    <row r="182">
      <c r="A182" s="2" t="inlineStr">
        <is>
          <t>C03-23</t>
        </is>
      </c>
      <c r="B182" s="2">
        <f>Key!B182</f>
        <v/>
      </c>
      <c r="C182" s="2">
        <f>Key!C182</f>
        <v/>
      </c>
      <c r="D182" s="2">
        <f>IF(Key!D182="","",Key!D182)</f>
        <v/>
      </c>
      <c r="E182" s="2">
        <f>IF(Label_ChatGPT!F65="","",Label_ChatGPT!F65)</f>
        <v/>
      </c>
      <c r="F182" s="2">
        <f>IF(Label_ChatGPT!G65="","",Label_ChatGPT!G65)</f>
        <v/>
      </c>
      <c r="G182" s="5" t="n"/>
      <c r="H182" s="2">
        <f>IF(G182&lt;&gt;"",G182,IF(AND(E182&lt;&gt;"",E182=F182,E182&lt;&gt;"unsure"),E182,""))</f>
        <v/>
      </c>
      <c r="I182" s="2">
        <f>IF(AND(OR(E182="met",E182="not_met"),OR(F182="met",F182="not_met")),1,0)</f>
        <v/>
      </c>
      <c r="J182" s="2">
        <f>IF(I182=1,IF(E182=F182,1,0),"")</f>
        <v/>
      </c>
      <c r="K182" s="2" t="n"/>
      <c r="L182" s="2" t="n"/>
      <c r="M182" s="2" t="n"/>
      <c r="N182" s="2">
        <f>IF(OR(K182="",H182=""),"",IF((K182="met")=(H182="met"),1,0))</f>
        <v/>
      </c>
      <c r="O182" s="2">
        <f>IF(OR(L182="",H182=""),"",IF((L182="met")=(H182="met"),1,0))</f>
        <v/>
      </c>
      <c r="P182" s="2">
        <f>IF(OR(M182="",H182=""),"",IF((M182="met")=(H182="met"),1,0))</f>
        <v/>
      </c>
    </row>
    <row r="183">
      <c r="A183" s="2" t="inlineStr">
        <is>
          <t>C03-24</t>
        </is>
      </c>
      <c r="B183" s="2">
        <f>Key!B183</f>
        <v/>
      </c>
      <c r="C183" s="2">
        <f>Key!C183</f>
        <v/>
      </c>
      <c r="D183" s="2">
        <f>IF(Key!D183="","",Key!D183)</f>
        <v/>
      </c>
      <c r="E183" s="2">
        <f>IF(Label_ChatGPT!F66="","",Label_ChatGPT!F66)</f>
        <v/>
      </c>
      <c r="F183" s="2">
        <f>IF(Label_ChatGPT!G66="","",Label_ChatGPT!G66)</f>
        <v/>
      </c>
      <c r="G183" s="5" t="n"/>
      <c r="H183" s="2">
        <f>IF(G183&lt;&gt;"",G183,IF(AND(E183&lt;&gt;"",E183=F183,E183&lt;&gt;"unsure"),E183,""))</f>
        <v/>
      </c>
      <c r="I183" s="2">
        <f>IF(AND(OR(E183="met",E183="not_met"),OR(F183="met",F183="not_met")),1,0)</f>
        <v/>
      </c>
      <c r="J183" s="2">
        <f>IF(I183=1,IF(E183=F183,1,0),"")</f>
        <v/>
      </c>
      <c r="K183" s="2" t="n"/>
      <c r="L183" s="2" t="n"/>
      <c r="M183" s="2" t="n"/>
      <c r="N183" s="2">
        <f>IF(OR(K183="",H183=""),"",IF((K183="met")=(H183="met"),1,0))</f>
        <v/>
      </c>
      <c r="O183" s="2">
        <f>IF(OR(L183="",H183=""),"",IF((L183="met")=(H183="met"),1,0))</f>
        <v/>
      </c>
      <c r="P183" s="2">
        <f>IF(OR(M183="",H183=""),"",IF((M183="met")=(H183="met"),1,0))</f>
        <v/>
      </c>
    </row>
    <row r="184">
      <c r="A184" s="2" t="inlineStr">
        <is>
          <t>C03-25</t>
        </is>
      </c>
      <c r="B184" s="2">
        <f>Key!B184</f>
        <v/>
      </c>
      <c r="C184" s="2">
        <f>Key!C184</f>
        <v/>
      </c>
      <c r="D184" s="2">
        <f>IF(Key!D184="","",Key!D184)</f>
        <v/>
      </c>
      <c r="E184" s="2">
        <f>IF(Label_ChatGPT!F67="","",Label_ChatGPT!F67)</f>
        <v/>
      </c>
      <c r="F184" s="2">
        <f>IF(Label_ChatGPT!G67="","",Label_ChatGPT!G67)</f>
        <v/>
      </c>
      <c r="G184" s="5" t="n"/>
      <c r="H184" s="2">
        <f>IF(G184&lt;&gt;"",G184,IF(AND(E184&lt;&gt;"",E184=F184,E184&lt;&gt;"unsure"),E184,""))</f>
        <v/>
      </c>
      <c r="I184" s="2">
        <f>IF(AND(OR(E184="met",E184="not_met"),OR(F184="met",F184="not_met")),1,0)</f>
        <v/>
      </c>
      <c r="J184" s="2">
        <f>IF(I184=1,IF(E184=F184,1,0),"")</f>
        <v/>
      </c>
      <c r="K184" s="2" t="n"/>
      <c r="L184" s="2" t="n"/>
      <c r="M184" s="2" t="n"/>
      <c r="N184" s="2">
        <f>IF(OR(K184="",H184=""),"",IF((K184="met")=(H184="met"),1,0))</f>
        <v/>
      </c>
      <c r="O184" s="2">
        <f>IF(OR(L184="",H184=""),"",IF((L184="met")=(H184="met"),1,0))</f>
        <v/>
      </c>
      <c r="P184" s="2">
        <f>IF(OR(M184="",H184=""),"",IF((M184="met")=(H184="met"),1,0))</f>
        <v/>
      </c>
    </row>
    <row r="185">
      <c r="A185" s="2" t="inlineStr">
        <is>
          <t>C03-26</t>
        </is>
      </c>
      <c r="B185" s="2">
        <f>Key!B185</f>
        <v/>
      </c>
      <c r="C185" s="2">
        <f>Key!C185</f>
        <v/>
      </c>
      <c r="D185" s="2">
        <f>IF(Key!D185="","",Key!D185)</f>
        <v/>
      </c>
      <c r="E185" s="2">
        <f>IF(Label_ChatGPT!F68="","",Label_ChatGPT!F68)</f>
        <v/>
      </c>
      <c r="F185" s="2">
        <f>IF(Label_ChatGPT!G68="","",Label_ChatGPT!G68)</f>
        <v/>
      </c>
      <c r="G185" s="5" t="n"/>
      <c r="H185" s="2">
        <f>IF(G185&lt;&gt;"",G185,IF(AND(E185&lt;&gt;"",E185=F185,E185&lt;&gt;"unsure"),E185,""))</f>
        <v/>
      </c>
      <c r="I185" s="2">
        <f>IF(AND(OR(E185="met",E185="not_met"),OR(F185="met",F185="not_met")),1,0)</f>
        <v/>
      </c>
      <c r="J185" s="2">
        <f>IF(I185=1,IF(E185=F185,1,0),"")</f>
        <v/>
      </c>
      <c r="K185" s="2" t="n"/>
      <c r="L185" s="2" t="n"/>
      <c r="M185" s="2" t="n"/>
      <c r="N185" s="2">
        <f>IF(OR(K185="",H185=""),"",IF((K185="met")=(H185="met"),1,0))</f>
        <v/>
      </c>
      <c r="O185" s="2">
        <f>IF(OR(L185="",H185=""),"",IF((L185="met")=(H185="met"),1,0))</f>
        <v/>
      </c>
      <c r="P185" s="2">
        <f>IF(OR(M185="",H185=""),"",IF((M185="met")=(H185="met"),1,0))</f>
        <v/>
      </c>
    </row>
    <row r="186">
      <c r="A186" s="2" t="inlineStr">
        <is>
          <t>C03-27</t>
        </is>
      </c>
      <c r="B186" s="2">
        <f>Key!B186</f>
        <v/>
      </c>
      <c r="C186" s="2">
        <f>Key!C186</f>
        <v/>
      </c>
      <c r="D186" s="2">
        <f>IF(Key!D186="","",Key!D186)</f>
        <v/>
      </c>
      <c r="E186" s="2">
        <f>IF(Label_ChatGPT!F69="","",Label_ChatGPT!F69)</f>
        <v/>
      </c>
      <c r="F186" s="2">
        <f>IF(Label_ChatGPT!G69="","",Label_ChatGPT!G69)</f>
        <v/>
      </c>
      <c r="G186" s="5" t="n"/>
      <c r="H186" s="2">
        <f>IF(G186&lt;&gt;"",G186,IF(AND(E186&lt;&gt;"",E186=F186,E186&lt;&gt;"unsure"),E186,""))</f>
        <v/>
      </c>
      <c r="I186" s="2">
        <f>IF(AND(OR(E186="met",E186="not_met"),OR(F186="met",F186="not_met")),1,0)</f>
        <v/>
      </c>
      <c r="J186" s="2">
        <f>IF(I186=1,IF(E186=F186,1,0),"")</f>
        <v/>
      </c>
      <c r="K186" s="2" t="n"/>
      <c r="L186" s="2" t="n"/>
      <c r="M186" s="2" t="n"/>
      <c r="N186" s="2">
        <f>IF(OR(K186="",H186=""),"",IF((K186="met")=(H186="met"),1,0))</f>
        <v/>
      </c>
      <c r="O186" s="2">
        <f>IF(OR(L186="",H186=""),"",IF((L186="met")=(H186="met"),1,0))</f>
        <v/>
      </c>
      <c r="P186" s="2">
        <f>IF(OR(M186="",H186=""),"",IF((M186="met")=(H186="met"),1,0))</f>
        <v/>
      </c>
    </row>
    <row r="187">
      <c r="A187" s="2" t="inlineStr">
        <is>
          <t>C03-28</t>
        </is>
      </c>
      <c r="B187" s="2">
        <f>Key!B187</f>
        <v/>
      </c>
      <c r="C187" s="2">
        <f>Key!C187</f>
        <v/>
      </c>
      <c r="D187" s="2">
        <f>IF(Key!D187="","",Key!D187)</f>
        <v/>
      </c>
      <c r="E187" s="2">
        <f>IF(Label_ChatGPT!F70="","",Label_ChatGPT!F70)</f>
        <v/>
      </c>
      <c r="F187" s="2">
        <f>IF(Label_ChatGPT!G70="","",Label_ChatGPT!G70)</f>
        <v/>
      </c>
      <c r="G187" s="5" t="n"/>
      <c r="H187" s="2">
        <f>IF(G187&lt;&gt;"",G187,IF(AND(E187&lt;&gt;"",E187=F187,E187&lt;&gt;"unsure"),E187,""))</f>
        <v/>
      </c>
      <c r="I187" s="2">
        <f>IF(AND(OR(E187="met",E187="not_met"),OR(F187="met",F187="not_met")),1,0)</f>
        <v/>
      </c>
      <c r="J187" s="2">
        <f>IF(I187=1,IF(E187=F187,1,0),"")</f>
        <v/>
      </c>
      <c r="K187" s="2" t="n"/>
      <c r="L187" s="2" t="n"/>
      <c r="M187" s="2" t="n"/>
      <c r="N187" s="2">
        <f>IF(OR(K187="",H187=""),"",IF((K187="met")=(H187="met"),1,0))</f>
        <v/>
      </c>
      <c r="O187" s="2">
        <f>IF(OR(L187="",H187=""),"",IF((L187="met")=(H187="met"),1,0))</f>
        <v/>
      </c>
      <c r="P187" s="2">
        <f>IF(OR(M187="",H187=""),"",IF((M187="met")=(H187="met"),1,0))</f>
        <v/>
      </c>
    </row>
    <row r="188">
      <c r="A188" s="2" t="inlineStr">
        <is>
          <t>C03-29</t>
        </is>
      </c>
      <c r="B188" s="2">
        <f>Key!B188</f>
        <v/>
      </c>
      <c r="C188" s="2">
        <f>Key!C188</f>
        <v/>
      </c>
      <c r="D188" s="2">
        <f>IF(Key!D188="","",Key!D188)</f>
        <v/>
      </c>
      <c r="E188" s="2">
        <f>IF(Label_ChatGPT!F71="","",Label_ChatGPT!F71)</f>
        <v/>
      </c>
      <c r="F188" s="2">
        <f>IF(Label_ChatGPT!G71="","",Label_ChatGPT!G71)</f>
        <v/>
      </c>
      <c r="G188" s="5" t="n"/>
      <c r="H188" s="2">
        <f>IF(G188&lt;&gt;"",G188,IF(AND(E188&lt;&gt;"",E188=F188,E188&lt;&gt;"unsure"),E188,""))</f>
        <v/>
      </c>
      <c r="I188" s="2">
        <f>IF(AND(OR(E188="met",E188="not_met"),OR(F188="met",F188="not_met")),1,0)</f>
        <v/>
      </c>
      <c r="J188" s="2">
        <f>IF(I188=1,IF(E188=F188,1,0),"")</f>
        <v/>
      </c>
      <c r="K188" s="2" t="n"/>
      <c r="L188" s="2" t="n"/>
      <c r="M188" s="2" t="n"/>
      <c r="N188" s="2">
        <f>IF(OR(K188="",H188=""),"",IF((K188="met")=(H188="met"),1,0))</f>
        <v/>
      </c>
      <c r="O188" s="2">
        <f>IF(OR(L188="",H188=""),"",IF((L188="met")=(H188="met"),1,0))</f>
        <v/>
      </c>
      <c r="P188" s="2">
        <f>IF(OR(M188="",H188=""),"",IF((M188="met")=(H188="met"),1,0))</f>
        <v/>
      </c>
    </row>
    <row r="189">
      <c r="A189" s="2" t="inlineStr">
        <is>
          <t>C04-01</t>
        </is>
      </c>
      <c r="B189" s="2">
        <f>Key!B189</f>
        <v/>
      </c>
      <c r="C189" s="2">
        <f>Key!C189</f>
        <v/>
      </c>
      <c r="D189" s="2">
        <f>IF(Key!D189="","",Key!D189)</f>
        <v/>
      </c>
      <c r="E189" s="2">
        <f>IF(Label_ChatGPT!F72="","",Label_ChatGPT!F72)</f>
        <v/>
      </c>
      <c r="F189" s="2">
        <f>IF(Label_ChatGPT!G72="","",Label_ChatGPT!G72)</f>
        <v/>
      </c>
      <c r="G189" s="5" t="n"/>
      <c r="H189" s="2">
        <f>IF(G189&lt;&gt;"",G189,IF(AND(E189&lt;&gt;"",E189=F189,E189&lt;&gt;"unsure"),E189,""))</f>
        <v/>
      </c>
      <c r="I189" s="2">
        <f>IF(AND(OR(E189="met",E189="not_met"),OR(F189="met",F189="not_met")),1,0)</f>
        <v/>
      </c>
      <c r="J189" s="2">
        <f>IF(I189=1,IF(E189=F189,1,0),"")</f>
        <v/>
      </c>
      <c r="K189" s="2" t="n"/>
      <c r="L189" s="2" t="n"/>
      <c r="M189" s="2" t="n"/>
      <c r="N189" s="2">
        <f>IF(OR(K189="",H189=""),"",IF((K189="met")=(H189="met"),1,0))</f>
        <v/>
      </c>
      <c r="O189" s="2">
        <f>IF(OR(L189="",H189=""),"",IF((L189="met")=(H189="met"),1,0))</f>
        <v/>
      </c>
      <c r="P189" s="2">
        <f>IF(OR(M189="",H189=""),"",IF((M189="met")=(H189="met"),1,0))</f>
        <v/>
      </c>
    </row>
    <row r="190">
      <c r="A190" s="2" t="inlineStr">
        <is>
          <t>C04-02</t>
        </is>
      </c>
      <c r="B190" s="2">
        <f>Key!B190</f>
        <v/>
      </c>
      <c r="C190" s="2">
        <f>Key!C190</f>
        <v/>
      </c>
      <c r="D190" s="2">
        <f>IF(Key!D190="","",Key!D190)</f>
        <v/>
      </c>
      <c r="E190" s="2">
        <f>IF(Label_ChatGPT!F73="","",Label_ChatGPT!F73)</f>
        <v/>
      </c>
      <c r="F190" s="2">
        <f>IF(Label_ChatGPT!G73="","",Label_ChatGPT!G73)</f>
        <v/>
      </c>
      <c r="G190" s="5" t="n"/>
      <c r="H190" s="2">
        <f>IF(G190&lt;&gt;"",G190,IF(AND(E190&lt;&gt;"",E190=F190,E190&lt;&gt;"unsure"),E190,""))</f>
        <v/>
      </c>
      <c r="I190" s="2">
        <f>IF(AND(OR(E190="met",E190="not_met"),OR(F190="met",F190="not_met")),1,0)</f>
        <v/>
      </c>
      <c r="J190" s="2">
        <f>IF(I190=1,IF(E190=F190,1,0),"")</f>
        <v/>
      </c>
      <c r="K190" s="2" t="n"/>
      <c r="L190" s="2" t="n"/>
      <c r="M190" s="2" t="n"/>
      <c r="N190" s="2">
        <f>IF(OR(K190="",H190=""),"",IF((K190="met")=(H190="met"),1,0))</f>
        <v/>
      </c>
      <c r="O190" s="2">
        <f>IF(OR(L190="",H190=""),"",IF((L190="met")=(H190="met"),1,0))</f>
        <v/>
      </c>
      <c r="P190" s="2">
        <f>IF(OR(M190="",H190=""),"",IF((M190="met")=(H190="met"),1,0))</f>
        <v/>
      </c>
    </row>
    <row r="191">
      <c r="A191" s="2" t="inlineStr">
        <is>
          <t>C04-03</t>
        </is>
      </c>
      <c r="B191" s="2">
        <f>Key!B191</f>
        <v/>
      </c>
      <c r="C191" s="2">
        <f>Key!C191</f>
        <v/>
      </c>
      <c r="D191" s="2">
        <f>IF(Key!D191="","",Key!D191)</f>
        <v/>
      </c>
      <c r="E191" s="2">
        <f>IF(Label_ChatGPT!F74="","",Label_ChatGPT!F74)</f>
        <v/>
      </c>
      <c r="F191" s="2">
        <f>IF(Label_ChatGPT!G74="","",Label_ChatGPT!G74)</f>
        <v/>
      </c>
      <c r="G191" s="5" t="n"/>
      <c r="H191" s="2">
        <f>IF(G191&lt;&gt;"",G191,IF(AND(E191&lt;&gt;"",E191=F191,E191&lt;&gt;"unsure"),E191,""))</f>
        <v/>
      </c>
      <c r="I191" s="2">
        <f>IF(AND(OR(E191="met",E191="not_met"),OR(F191="met",F191="not_met")),1,0)</f>
        <v/>
      </c>
      <c r="J191" s="2">
        <f>IF(I191=1,IF(E191=F191,1,0),"")</f>
        <v/>
      </c>
      <c r="K191" s="2" t="n"/>
      <c r="L191" s="2" t="n"/>
      <c r="M191" s="2" t="n"/>
      <c r="N191" s="2">
        <f>IF(OR(K191="",H191=""),"",IF((K191="met")=(H191="met"),1,0))</f>
        <v/>
      </c>
      <c r="O191" s="2">
        <f>IF(OR(L191="",H191=""),"",IF((L191="met")=(H191="met"),1,0))</f>
        <v/>
      </c>
      <c r="P191" s="2">
        <f>IF(OR(M191="",H191=""),"",IF((M191="met")=(H191="met"),1,0))</f>
        <v/>
      </c>
    </row>
    <row r="192">
      <c r="A192" s="2" t="inlineStr">
        <is>
          <t>C04-04</t>
        </is>
      </c>
      <c r="B192" s="2">
        <f>Key!B192</f>
        <v/>
      </c>
      <c r="C192" s="2">
        <f>Key!C192</f>
        <v/>
      </c>
      <c r="D192" s="2">
        <f>IF(Key!D192="","",Key!D192)</f>
        <v/>
      </c>
      <c r="E192" s="2">
        <f>IF(Label_ChatGPT!F75="","",Label_ChatGPT!F75)</f>
        <v/>
      </c>
      <c r="F192" s="2">
        <f>IF(Label_ChatGPT!G75="","",Label_ChatGPT!G75)</f>
        <v/>
      </c>
      <c r="G192" s="5" t="n"/>
      <c r="H192" s="2">
        <f>IF(G192&lt;&gt;"",G192,IF(AND(E192&lt;&gt;"",E192=F192,E192&lt;&gt;"unsure"),E192,""))</f>
        <v/>
      </c>
      <c r="I192" s="2">
        <f>IF(AND(OR(E192="met",E192="not_met"),OR(F192="met",F192="not_met")),1,0)</f>
        <v/>
      </c>
      <c r="J192" s="2">
        <f>IF(I192=1,IF(E192=F192,1,0),"")</f>
        <v/>
      </c>
      <c r="K192" s="2" t="n"/>
      <c r="L192" s="2" t="n"/>
      <c r="M192" s="2" t="n"/>
      <c r="N192" s="2">
        <f>IF(OR(K192="",H192=""),"",IF((K192="met")=(H192="met"),1,0))</f>
        <v/>
      </c>
      <c r="O192" s="2">
        <f>IF(OR(L192="",H192=""),"",IF((L192="met")=(H192="met"),1,0))</f>
        <v/>
      </c>
      <c r="P192" s="2">
        <f>IF(OR(M192="",H192=""),"",IF((M192="met")=(H192="met"),1,0))</f>
        <v/>
      </c>
    </row>
    <row r="193">
      <c r="A193" s="2" t="inlineStr">
        <is>
          <t>C04-05</t>
        </is>
      </c>
      <c r="B193" s="2">
        <f>Key!B193</f>
        <v/>
      </c>
      <c r="C193" s="2">
        <f>Key!C193</f>
        <v/>
      </c>
      <c r="D193" s="2">
        <f>IF(Key!D193="","",Key!D193)</f>
        <v/>
      </c>
      <c r="E193" s="2">
        <f>IF(Label_ChatGPT!F76="","",Label_ChatGPT!F76)</f>
        <v/>
      </c>
      <c r="F193" s="2">
        <f>IF(Label_ChatGPT!G76="","",Label_ChatGPT!G76)</f>
        <v/>
      </c>
      <c r="G193" s="5" t="n"/>
      <c r="H193" s="2">
        <f>IF(G193&lt;&gt;"",G193,IF(AND(E193&lt;&gt;"",E193=F193,E193&lt;&gt;"unsure"),E193,""))</f>
        <v/>
      </c>
      <c r="I193" s="2">
        <f>IF(AND(OR(E193="met",E193="not_met"),OR(F193="met",F193="not_met")),1,0)</f>
        <v/>
      </c>
      <c r="J193" s="2">
        <f>IF(I193=1,IF(E193=F193,1,0),"")</f>
        <v/>
      </c>
      <c r="K193" s="2" t="n"/>
      <c r="L193" s="2" t="n"/>
      <c r="M193" s="2" t="n"/>
      <c r="N193" s="2">
        <f>IF(OR(K193="",H193=""),"",IF((K193="met")=(H193="met"),1,0))</f>
        <v/>
      </c>
      <c r="O193" s="2">
        <f>IF(OR(L193="",H193=""),"",IF((L193="met")=(H193="met"),1,0))</f>
        <v/>
      </c>
      <c r="P193" s="2">
        <f>IF(OR(M193="",H193=""),"",IF((M193="met")=(H193="met"),1,0))</f>
        <v/>
      </c>
    </row>
    <row r="194">
      <c r="A194" s="2" t="inlineStr">
        <is>
          <t>C04-06</t>
        </is>
      </c>
      <c r="B194" s="2">
        <f>Key!B194</f>
        <v/>
      </c>
      <c r="C194" s="2">
        <f>Key!C194</f>
        <v/>
      </c>
      <c r="D194" s="2">
        <f>IF(Key!D194="","",Key!D194)</f>
        <v/>
      </c>
      <c r="E194" s="2">
        <f>IF(Label_ChatGPT!F77="","",Label_ChatGPT!F77)</f>
        <v/>
      </c>
      <c r="F194" s="2">
        <f>IF(Label_ChatGPT!G77="","",Label_ChatGPT!G77)</f>
        <v/>
      </c>
      <c r="G194" s="5" t="n"/>
      <c r="H194" s="2">
        <f>IF(G194&lt;&gt;"",G194,IF(AND(E194&lt;&gt;"",E194=F194,E194&lt;&gt;"unsure"),E194,""))</f>
        <v/>
      </c>
      <c r="I194" s="2">
        <f>IF(AND(OR(E194="met",E194="not_met"),OR(F194="met",F194="not_met")),1,0)</f>
        <v/>
      </c>
      <c r="J194" s="2">
        <f>IF(I194=1,IF(E194=F194,1,0),"")</f>
        <v/>
      </c>
      <c r="K194" s="2" t="n"/>
      <c r="L194" s="2" t="n"/>
      <c r="M194" s="2" t="n"/>
      <c r="N194" s="2">
        <f>IF(OR(K194="",H194=""),"",IF((K194="met")=(H194="met"),1,0))</f>
        <v/>
      </c>
      <c r="O194" s="2">
        <f>IF(OR(L194="",H194=""),"",IF((L194="met")=(H194="met"),1,0))</f>
        <v/>
      </c>
      <c r="P194" s="2">
        <f>IF(OR(M194="",H194=""),"",IF((M194="met")=(H194="met"),1,0))</f>
        <v/>
      </c>
    </row>
    <row r="195">
      <c r="A195" s="2" t="inlineStr">
        <is>
          <t>C04-07</t>
        </is>
      </c>
      <c r="B195" s="2">
        <f>Key!B195</f>
        <v/>
      </c>
      <c r="C195" s="2">
        <f>Key!C195</f>
        <v/>
      </c>
      <c r="D195" s="2">
        <f>IF(Key!D195="","",Key!D195)</f>
        <v/>
      </c>
      <c r="E195" s="2">
        <f>IF(Label_ChatGPT!F78="","",Label_ChatGPT!F78)</f>
        <v/>
      </c>
      <c r="F195" s="2">
        <f>IF(Label_ChatGPT!G78="","",Label_ChatGPT!G78)</f>
        <v/>
      </c>
      <c r="G195" s="5" t="n"/>
      <c r="H195" s="2">
        <f>IF(G195&lt;&gt;"",G195,IF(AND(E195&lt;&gt;"",E195=F195,E195&lt;&gt;"unsure"),E195,""))</f>
        <v/>
      </c>
      <c r="I195" s="2">
        <f>IF(AND(OR(E195="met",E195="not_met"),OR(F195="met",F195="not_met")),1,0)</f>
        <v/>
      </c>
      <c r="J195" s="2">
        <f>IF(I195=1,IF(E195=F195,1,0),"")</f>
        <v/>
      </c>
      <c r="K195" s="2" t="n"/>
      <c r="L195" s="2" t="n"/>
      <c r="M195" s="2" t="n"/>
      <c r="N195" s="2">
        <f>IF(OR(K195="",H195=""),"",IF((K195="met")=(H195="met"),1,0))</f>
        <v/>
      </c>
      <c r="O195" s="2">
        <f>IF(OR(L195="",H195=""),"",IF((L195="met")=(H195="met"),1,0))</f>
        <v/>
      </c>
      <c r="P195" s="2">
        <f>IF(OR(M195="",H195=""),"",IF((M195="met")=(H195="met"),1,0))</f>
        <v/>
      </c>
    </row>
    <row r="196">
      <c r="A196" s="2" t="inlineStr">
        <is>
          <t>C04-08</t>
        </is>
      </c>
      <c r="B196" s="2">
        <f>Key!B196</f>
        <v/>
      </c>
      <c r="C196" s="2">
        <f>Key!C196</f>
        <v/>
      </c>
      <c r="D196" s="2">
        <f>IF(Key!D196="","",Key!D196)</f>
        <v/>
      </c>
      <c r="E196" s="2">
        <f>IF(Label_ChatGPT!F79="","",Label_ChatGPT!F79)</f>
        <v/>
      </c>
      <c r="F196" s="2">
        <f>IF(Label_ChatGPT!G79="","",Label_ChatGPT!G79)</f>
        <v/>
      </c>
      <c r="G196" s="5" t="n"/>
      <c r="H196" s="2">
        <f>IF(G196&lt;&gt;"",G196,IF(AND(E196&lt;&gt;"",E196=F196,E196&lt;&gt;"unsure"),E196,""))</f>
        <v/>
      </c>
      <c r="I196" s="2">
        <f>IF(AND(OR(E196="met",E196="not_met"),OR(F196="met",F196="not_met")),1,0)</f>
        <v/>
      </c>
      <c r="J196" s="2">
        <f>IF(I196=1,IF(E196=F196,1,0),"")</f>
        <v/>
      </c>
      <c r="K196" s="2" t="n"/>
      <c r="L196" s="2" t="n"/>
      <c r="M196" s="2" t="n"/>
      <c r="N196" s="2">
        <f>IF(OR(K196="",H196=""),"",IF((K196="met")=(H196="met"),1,0))</f>
        <v/>
      </c>
      <c r="O196" s="2">
        <f>IF(OR(L196="",H196=""),"",IF((L196="met")=(H196="met"),1,0))</f>
        <v/>
      </c>
      <c r="P196" s="2">
        <f>IF(OR(M196="",H196=""),"",IF((M196="met")=(H196="met"),1,0))</f>
        <v/>
      </c>
    </row>
    <row r="197">
      <c r="A197" s="2" t="inlineStr">
        <is>
          <t>C04-09</t>
        </is>
      </c>
      <c r="B197" s="2">
        <f>Key!B197</f>
        <v/>
      </c>
      <c r="C197" s="2">
        <f>Key!C197</f>
        <v/>
      </c>
      <c r="D197" s="2">
        <f>IF(Key!D197="","",Key!D197)</f>
        <v/>
      </c>
      <c r="E197" s="2">
        <f>IF(Label_ChatGPT!F80="","",Label_ChatGPT!F80)</f>
        <v/>
      </c>
      <c r="F197" s="2">
        <f>IF(Label_ChatGPT!G80="","",Label_ChatGPT!G80)</f>
        <v/>
      </c>
      <c r="G197" s="5" t="n"/>
      <c r="H197" s="2">
        <f>IF(G197&lt;&gt;"",G197,IF(AND(E197&lt;&gt;"",E197=F197,E197&lt;&gt;"unsure"),E197,""))</f>
        <v/>
      </c>
      <c r="I197" s="2">
        <f>IF(AND(OR(E197="met",E197="not_met"),OR(F197="met",F197="not_met")),1,0)</f>
        <v/>
      </c>
      <c r="J197" s="2">
        <f>IF(I197=1,IF(E197=F197,1,0),"")</f>
        <v/>
      </c>
      <c r="K197" s="2" t="n"/>
      <c r="L197" s="2" t="n"/>
      <c r="M197" s="2" t="n"/>
      <c r="N197" s="2">
        <f>IF(OR(K197="",H197=""),"",IF((K197="met")=(H197="met"),1,0))</f>
        <v/>
      </c>
      <c r="O197" s="2">
        <f>IF(OR(L197="",H197=""),"",IF((L197="met")=(H197="met"),1,0))</f>
        <v/>
      </c>
      <c r="P197" s="2">
        <f>IF(OR(M197="",H197=""),"",IF((M197="met")=(H197="met"),1,0))</f>
        <v/>
      </c>
    </row>
    <row r="198">
      <c r="A198" s="2" t="inlineStr">
        <is>
          <t>C04-10</t>
        </is>
      </c>
      <c r="B198" s="2">
        <f>Key!B198</f>
        <v/>
      </c>
      <c r="C198" s="2">
        <f>Key!C198</f>
        <v/>
      </c>
      <c r="D198" s="2">
        <f>IF(Key!D198="","",Key!D198)</f>
        <v/>
      </c>
      <c r="E198" s="2">
        <f>IF(Label_ChatGPT!F81="","",Label_ChatGPT!F81)</f>
        <v/>
      </c>
      <c r="F198" s="2">
        <f>IF(Label_ChatGPT!G81="","",Label_ChatGPT!G81)</f>
        <v/>
      </c>
      <c r="G198" s="5" t="n"/>
      <c r="H198" s="2">
        <f>IF(G198&lt;&gt;"",G198,IF(AND(E198&lt;&gt;"",E198=F198,E198&lt;&gt;"unsure"),E198,""))</f>
        <v/>
      </c>
      <c r="I198" s="2">
        <f>IF(AND(OR(E198="met",E198="not_met"),OR(F198="met",F198="not_met")),1,0)</f>
        <v/>
      </c>
      <c r="J198" s="2">
        <f>IF(I198=1,IF(E198=F198,1,0),"")</f>
        <v/>
      </c>
      <c r="K198" s="2" t="n"/>
      <c r="L198" s="2" t="n"/>
      <c r="M198" s="2" t="n"/>
      <c r="N198" s="2">
        <f>IF(OR(K198="",H198=""),"",IF((K198="met")=(H198="met"),1,0))</f>
        <v/>
      </c>
      <c r="O198" s="2">
        <f>IF(OR(L198="",H198=""),"",IF((L198="met")=(H198="met"),1,0))</f>
        <v/>
      </c>
      <c r="P198" s="2">
        <f>IF(OR(M198="",H198=""),"",IF((M198="met")=(H198="met"),1,0))</f>
        <v/>
      </c>
    </row>
    <row r="199">
      <c r="A199" s="2" t="inlineStr">
        <is>
          <t>C04-11</t>
        </is>
      </c>
      <c r="B199" s="2">
        <f>Key!B199</f>
        <v/>
      </c>
      <c r="C199" s="2">
        <f>Key!C199</f>
        <v/>
      </c>
      <c r="D199" s="2">
        <f>IF(Key!D199="","",Key!D199)</f>
        <v/>
      </c>
      <c r="E199" s="2">
        <f>IF(Label_ChatGPT!F82="","",Label_ChatGPT!F82)</f>
        <v/>
      </c>
      <c r="F199" s="2">
        <f>IF(Label_ChatGPT!G82="","",Label_ChatGPT!G82)</f>
        <v/>
      </c>
      <c r="G199" s="5" t="n"/>
      <c r="H199" s="2">
        <f>IF(G199&lt;&gt;"",G199,IF(AND(E199&lt;&gt;"",E199=F199,E199&lt;&gt;"unsure"),E199,""))</f>
        <v/>
      </c>
      <c r="I199" s="2">
        <f>IF(AND(OR(E199="met",E199="not_met"),OR(F199="met",F199="not_met")),1,0)</f>
        <v/>
      </c>
      <c r="J199" s="2">
        <f>IF(I199=1,IF(E199=F199,1,0),"")</f>
        <v/>
      </c>
      <c r="K199" s="2" t="n"/>
      <c r="L199" s="2" t="n"/>
      <c r="M199" s="2" t="n"/>
      <c r="N199" s="2">
        <f>IF(OR(K199="",H199=""),"",IF((K199="met")=(H199="met"),1,0))</f>
        <v/>
      </c>
      <c r="O199" s="2">
        <f>IF(OR(L199="",H199=""),"",IF((L199="met")=(H199="met"),1,0))</f>
        <v/>
      </c>
      <c r="P199" s="2">
        <f>IF(OR(M199="",H199=""),"",IF((M199="met")=(H199="met"),1,0))</f>
        <v/>
      </c>
    </row>
    <row r="200">
      <c r="A200" s="2" t="inlineStr">
        <is>
          <t>C04-12</t>
        </is>
      </c>
      <c r="B200" s="2">
        <f>Key!B200</f>
        <v/>
      </c>
      <c r="C200" s="2">
        <f>Key!C200</f>
        <v/>
      </c>
      <c r="D200" s="2">
        <f>IF(Key!D200="","",Key!D200)</f>
        <v/>
      </c>
      <c r="E200" s="2">
        <f>IF(Label_ChatGPT!F83="","",Label_ChatGPT!F83)</f>
        <v/>
      </c>
      <c r="F200" s="2">
        <f>IF(Label_ChatGPT!G83="","",Label_ChatGPT!G83)</f>
        <v/>
      </c>
      <c r="G200" s="5" t="n"/>
      <c r="H200" s="2">
        <f>IF(G200&lt;&gt;"",G200,IF(AND(E200&lt;&gt;"",E200=F200,E200&lt;&gt;"unsure"),E200,""))</f>
        <v/>
      </c>
      <c r="I200" s="2">
        <f>IF(AND(OR(E200="met",E200="not_met"),OR(F200="met",F200="not_met")),1,0)</f>
        <v/>
      </c>
      <c r="J200" s="2">
        <f>IF(I200=1,IF(E200=F200,1,0),"")</f>
        <v/>
      </c>
      <c r="K200" s="2" t="n"/>
      <c r="L200" s="2" t="n"/>
      <c r="M200" s="2" t="n"/>
      <c r="N200" s="2">
        <f>IF(OR(K200="",H200=""),"",IF((K200="met")=(H200="met"),1,0))</f>
        <v/>
      </c>
      <c r="O200" s="2">
        <f>IF(OR(L200="",H200=""),"",IF((L200="met")=(H200="met"),1,0))</f>
        <v/>
      </c>
      <c r="P200" s="2">
        <f>IF(OR(M200="",H200=""),"",IF((M200="met")=(H200="met"),1,0))</f>
        <v/>
      </c>
    </row>
    <row r="201">
      <c r="A201" s="2" t="inlineStr">
        <is>
          <t>C04-13</t>
        </is>
      </c>
      <c r="B201" s="2">
        <f>Key!B201</f>
        <v/>
      </c>
      <c r="C201" s="2">
        <f>Key!C201</f>
        <v/>
      </c>
      <c r="D201" s="2">
        <f>IF(Key!D201="","",Key!D201)</f>
        <v/>
      </c>
      <c r="E201" s="2">
        <f>IF(Label_ChatGPT!F84="","",Label_ChatGPT!F84)</f>
        <v/>
      </c>
      <c r="F201" s="2">
        <f>IF(Label_ChatGPT!G84="","",Label_ChatGPT!G84)</f>
        <v/>
      </c>
      <c r="G201" s="5" t="n"/>
      <c r="H201" s="2">
        <f>IF(G201&lt;&gt;"",G201,IF(AND(E201&lt;&gt;"",E201=F201,E201&lt;&gt;"unsure"),E201,""))</f>
        <v/>
      </c>
      <c r="I201" s="2">
        <f>IF(AND(OR(E201="met",E201="not_met"),OR(F201="met",F201="not_met")),1,0)</f>
        <v/>
      </c>
      <c r="J201" s="2">
        <f>IF(I201=1,IF(E201=F201,1,0),"")</f>
        <v/>
      </c>
      <c r="K201" s="2" t="n"/>
      <c r="L201" s="2" t="n"/>
      <c r="M201" s="2" t="n"/>
      <c r="N201" s="2">
        <f>IF(OR(K201="",H201=""),"",IF((K201="met")=(H201="met"),1,0))</f>
        <v/>
      </c>
      <c r="O201" s="2">
        <f>IF(OR(L201="",H201=""),"",IF((L201="met")=(H201="met"),1,0))</f>
        <v/>
      </c>
      <c r="P201" s="2">
        <f>IF(OR(M201="",H201=""),"",IF((M201="met")=(H201="met"),1,0))</f>
        <v/>
      </c>
    </row>
    <row r="202">
      <c r="A202" s="2" t="inlineStr">
        <is>
          <t>C04-14</t>
        </is>
      </c>
      <c r="B202" s="2">
        <f>Key!B202</f>
        <v/>
      </c>
      <c r="C202" s="2">
        <f>Key!C202</f>
        <v/>
      </c>
      <c r="D202" s="2">
        <f>IF(Key!D202="","",Key!D202)</f>
        <v/>
      </c>
      <c r="E202" s="2">
        <f>IF(Label_ChatGPT!F85="","",Label_ChatGPT!F85)</f>
        <v/>
      </c>
      <c r="F202" s="2">
        <f>IF(Label_ChatGPT!G85="","",Label_ChatGPT!G85)</f>
        <v/>
      </c>
      <c r="G202" s="5" t="n"/>
      <c r="H202" s="2">
        <f>IF(G202&lt;&gt;"",G202,IF(AND(E202&lt;&gt;"",E202=F202,E202&lt;&gt;"unsure"),E202,""))</f>
        <v/>
      </c>
      <c r="I202" s="2">
        <f>IF(AND(OR(E202="met",E202="not_met"),OR(F202="met",F202="not_met")),1,0)</f>
        <v/>
      </c>
      <c r="J202" s="2">
        <f>IF(I202=1,IF(E202=F202,1,0),"")</f>
        <v/>
      </c>
      <c r="K202" s="2" t="n"/>
      <c r="L202" s="2" t="n"/>
      <c r="M202" s="2" t="n"/>
      <c r="N202" s="2">
        <f>IF(OR(K202="",H202=""),"",IF((K202="met")=(H202="met"),1,0))</f>
        <v/>
      </c>
      <c r="O202" s="2">
        <f>IF(OR(L202="",H202=""),"",IF((L202="met")=(H202="met"),1,0))</f>
        <v/>
      </c>
      <c r="P202" s="2">
        <f>IF(OR(M202="",H202=""),"",IF((M202="met")=(H202="met"),1,0))</f>
        <v/>
      </c>
    </row>
    <row r="203">
      <c r="A203" s="2" t="inlineStr">
        <is>
          <t>C04-15</t>
        </is>
      </c>
      <c r="B203" s="2">
        <f>Key!B203</f>
        <v/>
      </c>
      <c r="C203" s="2">
        <f>Key!C203</f>
        <v/>
      </c>
      <c r="D203" s="2">
        <f>IF(Key!D203="","",Key!D203)</f>
        <v/>
      </c>
      <c r="E203" s="2">
        <f>IF(Label_ChatGPT!F86="","",Label_ChatGPT!F86)</f>
        <v/>
      </c>
      <c r="F203" s="2">
        <f>IF(Label_ChatGPT!G86="","",Label_ChatGPT!G86)</f>
        <v/>
      </c>
      <c r="G203" s="5" t="n"/>
      <c r="H203" s="2">
        <f>IF(G203&lt;&gt;"",G203,IF(AND(E203&lt;&gt;"",E203=F203,E203&lt;&gt;"unsure"),E203,""))</f>
        <v/>
      </c>
      <c r="I203" s="2">
        <f>IF(AND(OR(E203="met",E203="not_met"),OR(F203="met",F203="not_met")),1,0)</f>
        <v/>
      </c>
      <c r="J203" s="2">
        <f>IF(I203=1,IF(E203=F203,1,0),"")</f>
        <v/>
      </c>
      <c r="K203" s="2" t="n"/>
      <c r="L203" s="2" t="n"/>
      <c r="M203" s="2" t="n"/>
      <c r="N203" s="2">
        <f>IF(OR(K203="",H203=""),"",IF((K203="met")=(H203="met"),1,0))</f>
        <v/>
      </c>
      <c r="O203" s="2">
        <f>IF(OR(L203="",H203=""),"",IF((L203="met")=(H203="met"),1,0))</f>
        <v/>
      </c>
      <c r="P203" s="2">
        <f>IF(OR(M203="",H203=""),"",IF((M203="met")=(H203="met"),1,0))</f>
        <v/>
      </c>
    </row>
    <row r="204">
      <c r="A204" s="2" t="inlineStr">
        <is>
          <t>C04-16</t>
        </is>
      </c>
      <c r="B204" s="2">
        <f>Key!B204</f>
        <v/>
      </c>
      <c r="C204" s="2">
        <f>Key!C204</f>
        <v/>
      </c>
      <c r="D204" s="2">
        <f>IF(Key!D204="","",Key!D204)</f>
        <v/>
      </c>
      <c r="E204" s="2">
        <f>IF(Label_ChatGPT!F87="","",Label_ChatGPT!F87)</f>
        <v/>
      </c>
      <c r="F204" s="2">
        <f>IF(Label_ChatGPT!G87="","",Label_ChatGPT!G87)</f>
        <v/>
      </c>
      <c r="G204" s="5" t="n"/>
      <c r="H204" s="2">
        <f>IF(G204&lt;&gt;"",G204,IF(AND(E204&lt;&gt;"",E204=F204,E204&lt;&gt;"unsure"),E204,""))</f>
        <v/>
      </c>
      <c r="I204" s="2">
        <f>IF(AND(OR(E204="met",E204="not_met"),OR(F204="met",F204="not_met")),1,0)</f>
        <v/>
      </c>
      <c r="J204" s="2">
        <f>IF(I204=1,IF(E204=F204,1,0),"")</f>
        <v/>
      </c>
      <c r="K204" s="2" t="n"/>
      <c r="L204" s="2" t="n"/>
      <c r="M204" s="2" t="n"/>
      <c r="N204" s="2">
        <f>IF(OR(K204="",H204=""),"",IF((K204="met")=(H204="met"),1,0))</f>
        <v/>
      </c>
      <c r="O204" s="2">
        <f>IF(OR(L204="",H204=""),"",IF((L204="met")=(H204="met"),1,0))</f>
        <v/>
      </c>
      <c r="P204" s="2">
        <f>IF(OR(M204="",H204=""),"",IF((M204="met")=(H204="met"),1,0))</f>
        <v/>
      </c>
    </row>
    <row r="205">
      <c r="A205" s="2" t="inlineStr">
        <is>
          <t>C04-17</t>
        </is>
      </c>
      <c r="B205" s="2">
        <f>Key!B205</f>
        <v/>
      </c>
      <c r="C205" s="2">
        <f>Key!C205</f>
        <v/>
      </c>
      <c r="D205" s="2">
        <f>IF(Key!D205="","",Key!D205)</f>
        <v/>
      </c>
      <c r="E205" s="2">
        <f>IF(Label_ChatGPT!F88="","",Label_ChatGPT!F88)</f>
        <v/>
      </c>
      <c r="F205" s="2">
        <f>IF(Label_ChatGPT!G88="","",Label_ChatGPT!G88)</f>
        <v/>
      </c>
      <c r="G205" s="5" t="n"/>
      <c r="H205" s="2">
        <f>IF(G205&lt;&gt;"",G205,IF(AND(E205&lt;&gt;"",E205=F205,E205&lt;&gt;"unsure"),E205,""))</f>
        <v/>
      </c>
      <c r="I205" s="2">
        <f>IF(AND(OR(E205="met",E205="not_met"),OR(F205="met",F205="not_met")),1,0)</f>
        <v/>
      </c>
      <c r="J205" s="2">
        <f>IF(I205=1,IF(E205=F205,1,0),"")</f>
        <v/>
      </c>
      <c r="K205" s="2" t="n"/>
      <c r="L205" s="2" t="n"/>
      <c r="M205" s="2" t="n"/>
      <c r="N205" s="2">
        <f>IF(OR(K205="",H205=""),"",IF((K205="met")=(H205="met"),1,0))</f>
        <v/>
      </c>
      <c r="O205" s="2">
        <f>IF(OR(L205="",H205=""),"",IF((L205="met")=(H205="met"),1,0))</f>
        <v/>
      </c>
      <c r="P205" s="2">
        <f>IF(OR(M205="",H205=""),"",IF((M205="met")=(H205="met"),1,0))</f>
        <v/>
      </c>
    </row>
    <row r="206">
      <c r="A206" s="2" t="inlineStr">
        <is>
          <t>C04-18</t>
        </is>
      </c>
      <c r="B206" s="2">
        <f>Key!B206</f>
        <v/>
      </c>
      <c r="C206" s="2">
        <f>Key!C206</f>
        <v/>
      </c>
      <c r="D206" s="2">
        <f>IF(Key!D206="","",Key!D206)</f>
        <v/>
      </c>
      <c r="E206" s="2">
        <f>IF(Label_ChatGPT!F89="","",Label_ChatGPT!F89)</f>
        <v/>
      </c>
      <c r="F206" s="2">
        <f>IF(Label_ChatGPT!G89="","",Label_ChatGPT!G89)</f>
        <v/>
      </c>
      <c r="G206" s="5" t="n"/>
      <c r="H206" s="2">
        <f>IF(G206&lt;&gt;"",G206,IF(AND(E206&lt;&gt;"",E206=F206,E206&lt;&gt;"unsure"),E206,""))</f>
        <v/>
      </c>
      <c r="I206" s="2">
        <f>IF(AND(OR(E206="met",E206="not_met"),OR(F206="met",F206="not_met")),1,0)</f>
        <v/>
      </c>
      <c r="J206" s="2">
        <f>IF(I206=1,IF(E206=F206,1,0),"")</f>
        <v/>
      </c>
      <c r="K206" s="2" t="n"/>
      <c r="L206" s="2" t="n"/>
      <c r="M206" s="2" t="n"/>
      <c r="N206" s="2">
        <f>IF(OR(K206="",H206=""),"",IF((K206="met")=(H206="met"),1,0))</f>
        <v/>
      </c>
      <c r="O206" s="2">
        <f>IF(OR(L206="",H206=""),"",IF((L206="met")=(H206="met"),1,0))</f>
        <v/>
      </c>
      <c r="P206" s="2">
        <f>IF(OR(M206="",H206=""),"",IF((M206="met")=(H206="met"),1,0))</f>
        <v/>
      </c>
    </row>
    <row r="207">
      <c r="A207" s="2" t="inlineStr">
        <is>
          <t>C04-19</t>
        </is>
      </c>
      <c r="B207" s="2">
        <f>Key!B207</f>
        <v/>
      </c>
      <c r="C207" s="2">
        <f>Key!C207</f>
        <v/>
      </c>
      <c r="D207" s="2">
        <f>IF(Key!D207="","",Key!D207)</f>
        <v/>
      </c>
      <c r="E207" s="2">
        <f>IF(Label_ChatGPT!F90="","",Label_ChatGPT!F90)</f>
        <v/>
      </c>
      <c r="F207" s="2">
        <f>IF(Label_ChatGPT!G90="","",Label_ChatGPT!G90)</f>
        <v/>
      </c>
      <c r="G207" s="5" t="n"/>
      <c r="H207" s="2">
        <f>IF(G207&lt;&gt;"",G207,IF(AND(E207&lt;&gt;"",E207=F207,E207&lt;&gt;"unsure"),E207,""))</f>
        <v/>
      </c>
      <c r="I207" s="2">
        <f>IF(AND(OR(E207="met",E207="not_met"),OR(F207="met",F207="not_met")),1,0)</f>
        <v/>
      </c>
      <c r="J207" s="2">
        <f>IF(I207=1,IF(E207=F207,1,0),"")</f>
        <v/>
      </c>
      <c r="K207" s="2" t="n"/>
      <c r="L207" s="2" t="n"/>
      <c r="M207" s="2" t="n"/>
      <c r="N207" s="2">
        <f>IF(OR(K207="",H207=""),"",IF((K207="met")=(H207="met"),1,0))</f>
        <v/>
      </c>
      <c r="O207" s="2">
        <f>IF(OR(L207="",H207=""),"",IF((L207="met")=(H207="met"),1,0))</f>
        <v/>
      </c>
      <c r="P207" s="2">
        <f>IF(OR(M207="",H207=""),"",IF((M207="met")=(H207="met"),1,0))</f>
        <v/>
      </c>
    </row>
    <row r="208">
      <c r="A208" s="2" t="inlineStr">
        <is>
          <t>C04-20</t>
        </is>
      </c>
      <c r="B208" s="2">
        <f>Key!B208</f>
        <v/>
      </c>
      <c r="C208" s="2">
        <f>Key!C208</f>
        <v/>
      </c>
      <c r="D208" s="2">
        <f>IF(Key!D208="","",Key!D208)</f>
        <v/>
      </c>
      <c r="E208" s="2">
        <f>IF(Label_ChatGPT!F91="","",Label_ChatGPT!F91)</f>
        <v/>
      </c>
      <c r="F208" s="2">
        <f>IF(Label_ChatGPT!G91="","",Label_ChatGPT!G91)</f>
        <v/>
      </c>
      <c r="G208" s="5" t="n"/>
      <c r="H208" s="2">
        <f>IF(G208&lt;&gt;"",G208,IF(AND(E208&lt;&gt;"",E208=F208,E208&lt;&gt;"unsure"),E208,""))</f>
        <v/>
      </c>
      <c r="I208" s="2">
        <f>IF(AND(OR(E208="met",E208="not_met"),OR(F208="met",F208="not_met")),1,0)</f>
        <v/>
      </c>
      <c r="J208" s="2">
        <f>IF(I208=1,IF(E208=F208,1,0),"")</f>
        <v/>
      </c>
      <c r="K208" s="2" t="n"/>
      <c r="L208" s="2" t="n"/>
      <c r="M208" s="2" t="n"/>
      <c r="N208" s="2">
        <f>IF(OR(K208="",H208=""),"",IF((K208="met")=(H208="met"),1,0))</f>
        <v/>
      </c>
      <c r="O208" s="2">
        <f>IF(OR(L208="",H208=""),"",IF((L208="met")=(H208="met"),1,0))</f>
        <v/>
      </c>
      <c r="P208" s="2">
        <f>IF(OR(M208="",H208=""),"",IF((M208="met")=(H208="met"),1,0))</f>
        <v/>
      </c>
    </row>
    <row r="209">
      <c r="A209" s="2" t="inlineStr">
        <is>
          <t>C04-21</t>
        </is>
      </c>
      <c r="B209" s="2">
        <f>Key!B209</f>
        <v/>
      </c>
      <c r="C209" s="2">
        <f>Key!C209</f>
        <v/>
      </c>
      <c r="D209" s="2">
        <f>IF(Key!D209="","",Key!D209)</f>
        <v/>
      </c>
      <c r="E209" s="2">
        <f>IF(Label_ChatGPT!F92="","",Label_ChatGPT!F92)</f>
        <v/>
      </c>
      <c r="F209" s="2">
        <f>IF(Label_ChatGPT!G92="","",Label_ChatGPT!G92)</f>
        <v/>
      </c>
      <c r="G209" s="5" t="n"/>
      <c r="H209" s="2">
        <f>IF(G209&lt;&gt;"",G209,IF(AND(E209&lt;&gt;"",E209=F209,E209&lt;&gt;"unsure"),E209,""))</f>
        <v/>
      </c>
      <c r="I209" s="2">
        <f>IF(AND(OR(E209="met",E209="not_met"),OR(F209="met",F209="not_met")),1,0)</f>
        <v/>
      </c>
      <c r="J209" s="2">
        <f>IF(I209=1,IF(E209=F209,1,0),"")</f>
        <v/>
      </c>
      <c r="K209" s="2" t="n"/>
      <c r="L209" s="2" t="n"/>
      <c r="M209" s="2" t="n"/>
      <c r="N209" s="2">
        <f>IF(OR(K209="",H209=""),"",IF((K209="met")=(H209="met"),1,0))</f>
        <v/>
      </c>
      <c r="O209" s="2">
        <f>IF(OR(L209="",H209=""),"",IF((L209="met")=(H209="met"),1,0))</f>
        <v/>
      </c>
      <c r="P209" s="2">
        <f>IF(OR(M209="",H209=""),"",IF((M209="met")=(H209="met"),1,0))</f>
        <v/>
      </c>
    </row>
    <row r="210">
      <c r="A210" s="2" t="inlineStr">
        <is>
          <t>C04-22</t>
        </is>
      </c>
      <c r="B210" s="2">
        <f>Key!B210</f>
        <v/>
      </c>
      <c r="C210" s="2">
        <f>Key!C210</f>
        <v/>
      </c>
      <c r="D210" s="2">
        <f>IF(Key!D210="","",Key!D210)</f>
        <v/>
      </c>
      <c r="E210" s="2">
        <f>IF(Label_ChatGPT!F93="","",Label_ChatGPT!F93)</f>
        <v/>
      </c>
      <c r="F210" s="2">
        <f>IF(Label_ChatGPT!G93="","",Label_ChatGPT!G93)</f>
        <v/>
      </c>
      <c r="G210" s="5" t="n"/>
      <c r="H210" s="2">
        <f>IF(G210&lt;&gt;"",G210,IF(AND(E210&lt;&gt;"",E210=F210,E210&lt;&gt;"unsure"),E210,""))</f>
        <v/>
      </c>
      <c r="I210" s="2">
        <f>IF(AND(OR(E210="met",E210="not_met"),OR(F210="met",F210="not_met")),1,0)</f>
        <v/>
      </c>
      <c r="J210" s="2">
        <f>IF(I210=1,IF(E210=F210,1,0),"")</f>
        <v/>
      </c>
      <c r="K210" s="2" t="n"/>
      <c r="L210" s="2" t="n"/>
      <c r="M210" s="2" t="n"/>
      <c r="N210" s="2">
        <f>IF(OR(K210="",H210=""),"",IF((K210="met")=(H210="met"),1,0))</f>
        <v/>
      </c>
      <c r="O210" s="2">
        <f>IF(OR(L210="",H210=""),"",IF((L210="met")=(H210="met"),1,0))</f>
        <v/>
      </c>
      <c r="P210" s="2">
        <f>IF(OR(M210="",H210=""),"",IF((M210="met")=(H210="met"),1,0))</f>
        <v/>
      </c>
    </row>
    <row r="211">
      <c r="A211" s="2" t="inlineStr">
        <is>
          <t>C05-01</t>
        </is>
      </c>
      <c r="B211" s="2">
        <f>Key!B211</f>
        <v/>
      </c>
      <c r="C211" s="2">
        <f>Key!C211</f>
        <v/>
      </c>
      <c r="D211" s="2">
        <f>IF(Key!D211="","",Key!D211)</f>
        <v/>
      </c>
      <c r="E211" s="2">
        <f>IF(Label_ChatGPT!F94="","",Label_ChatGPT!F94)</f>
        <v/>
      </c>
      <c r="F211" s="2">
        <f>IF(Label_ChatGPT!G94="","",Label_ChatGPT!G94)</f>
        <v/>
      </c>
      <c r="G211" s="5" t="n"/>
      <c r="H211" s="2">
        <f>IF(G211&lt;&gt;"",G211,IF(AND(E211&lt;&gt;"",E211=F211,E211&lt;&gt;"unsure"),E211,""))</f>
        <v/>
      </c>
      <c r="I211" s="2">
        <f>IF(AND(OR(E211="met",E211="not_met"),OR(F211="met",F211="not_met")),1,0)</f>
        <v/>
      </c>
      <c r="J211" s="2">
        <f>IF(I211=1,IF(E211=F211,1,0),"")</f>
        <v/>
      </c>
      <c r="K211" s="2" t="n"/>
      <c r="L211" s="2" t="n"/>
      <c r="M211" s="2" t="n"/>
      <c r="N211" s="2">
        <f>IF(OR(K211="",H211=""),"",IF((K211="met")=(H211="met"),1,0))</f>
        <v/>
      </c>
      <c r="O211" s="2">
        <f>IF(OR(L211="",H211=""),"",IF((L211="met")=(H211="met"),1,0))</f>
        <v/>
      </c>
      <c r="P211" s="2">
        <f>IF(OR(M211="",H211=""),"",IF((M211="met")=(H211="met"),1,0))</f>
        <v/>
      </c>
    </row>
    <row r="212">
      <c r="A212" s="2" t="inlineStr">
        <is>
          <t>C05-02</t>
        </is>
      </c>
      <c r="B212" s="2">
        <f>Key!B212</f>
        <v/>
      </c>
      <c r="C212" s="2">
        <f>Key!C212</f>
        <v/>
      </c>
      <c r="D212" s="2">
        <f>IF(Key!D212="","",Key!D212)</f>
        <v/>
      </c>
      <c r="E212" s="2">
        <f>IF(Label_ChatGPT!F95="","",Label_ChatGPT!F95)</f>
        <v/>
      </c>
      <c r="F212" s="2">
        <f>IF(Label_ChatGPT!G95="","",Label_ChatGPT!G95)</f>
        <v/>
      </c>
      <c r="G212" s="5" t="n"/>
      <c r="H212" s="2">
        <f>IF(G212&lt;&gt;"",G212,IF(AND(E212&lt;&gt;"",E212=F212,E212&lt;&gt;"unsure"),E212,""))</f>
        <v/>
      </c>
      <c r="I212" s="2">
        <f>IF(AND(OR(E212="met",E212="not_met"),OR(F212="met",F212="not_met")),1,0)</f>
        <v/>
      </c>
      <c r="J212" s="2">
        <f>IF(I212=1,IF(E212=F212,1,0),"")</f>
        <v/>
      </c>
      <c r="K212" s="2" t="n"/>
      <c r="L212" s="2" t="n"/>
      <c r="M212" s="2" t="n"/>
      <c r="N212" s="2">
        <f>IF(OR(K212="",H212=""),"",IF((K212="met")=(H212="met"),1,0))</f>
        <v/>
      </c>
      <c r="O212" s="2">
        <f>IF(OR(L212="",H212=""),"",IF((L212="met")=(H212="met"),1,0))</f>
        <v/>
      </c>
      <c r="P212" s="2">
        <f>IF(OR(M212="",H212=""),"",IF((M212="met")=(H212="met"),1,0))</f>
        <v/>
      </c>
    </row>
    <row r="213">
      <c r="A213" s="2" t="inlineStr">
        <is>
          <t>C05-03</t>
        </is>
      </c>
      <c r="B213" s="2">
        <f>Key!B213</f>
        <v/>
      </c>
      <c r="C213" s="2">
        <f>Key!C213</f>
        <v/>
      </c>
      <c r="D213" s="2">
        <f>IF(Key!D213="","",Key!D213)</f>
        <v/>
      </c>
      <c r="E213" s="2">
        <f>IF(Label_ChatGPT!F96="","",Label_ChatGPT!F96)</f>
        <v/>
      </c>
      <c r="F213" s="2">
        <f>IF(Label_ChatGPT!G96="","",Label_ChatGPT!G96)</f>
        <v/>
      </c>
      <c r="G213" s="5" t="n"/>
      <c r="H213" s="2">
        <f>IF(G213&lt;&gt;"",G213,IF(AND(E213&lt;&gt;"",E213=F213,E213&lt;&gt;"unsure"),E213,""))</f>
        <v/>
      </c>
      <c r="I213" s="2">
        <f>IF(AND(OR(E213="met",E213="not_met"),OR(F213="met",F213="not_met")),1,0)</f>
        <v/>
      </c>
      <c r="J213" s="2">
        <f>IF(I213=1,IF(E213=F213,1,0),"")</f>
        <v/>
      </c>
      <c r="K213" s="2" t="n"/>
      <c r="L213" s="2" t="n"/>
      <c r="M213" s="2" t="n"/>
      <c r="N213" s="2">
        <f>IF(OR(K213="",H213=""),"",IF((K213="met")=(H213="met"),1,0))</f>
        <v/>
      </c>
      <c r="O213" s="2">
        <f>IF(OR(L213="",H213=""),"",IF((L213="met")=(H213="met"),1,0))</f>
        <v/>
      </c>
      <c r="P213" s="2">
        <f>IF(OR(M213="",H213=""),"",IF((M213="met")=(H213="met"),1,0))</f>
        <v/>
      </c>
    </row>
    <row r="214">
      <c r="A214" s="2" t="inlineStr">
        <is>
          <t>C05-04</t>
        </is>
      </c>
      <c r="B214" s="2">
        <f>Key!B214</f>
        <v/>
      </c>
      <c r="C214" s="2">
        <f>Key!C214</f>
        <v/>
      </c>
      <c r="D214" s="2">
        <f>IF(Key!D214="","",Key!D214)</f>
        <v/>
      </c>
      <c r="E214" s="2">
        <f>IF(Label_ChatGPT!F97="","",Label_ChatGPT!F97)</f>
        <v/>
      </c>
      <c r="F214" s="2">
        <f>IF(Label_ChatGPT!G97="","",Label_ChatGPT!G97)</f>
        <v/>
      </c>
      <c r="G214" s="5" t="n"/>
      <c r="H214" s="2">
        <f>IF(G214&lt;&gt;"",G214,IF(AND(E214&lt;&gt;"",E214=F214,E214&lt;&gt;"unsure"),E214,""))</f>
        <v/>
      </c>
      <c r="I214" s="2">
        <f>IF(AND(OR(E214="met",E214="not_met"),OR(F214="met",F214="not_met")),1,0)</f>
        <v/>
      </c>
      <c r="J214" s="2">
        <f>IF(I214=1,IF(E214=F214,1,0),"")</f>
        <v/>
      </c>
      <c r="K214" s="2" t="n"/>
      <c r="L214" s="2" t="n"/>
      <c r="M214" s="2" t="n"/>
      <c r="N214" s="2">
        <f>IF(OR(K214="",H214=""),"",IF((K214="met")=(H214="met"),1,0))</f>
        <v/>
      </c>
      <c r="O214" s="2">
        <f>IF(OR(L214="",H214=""),"",IF((L214="met")=(H214="met"),1,0))</f>
        <v/>
      </c>
      <c r="P214" s="2">
        <f>IF(OR(M214="",H214=""),"",IF((M214="met")=(H214="met"),1,0))</f>
        <v/>
      </c>
    </row>
    <row r="215">
      <c r="A215" s="2" t="inlineStr">
        <is>
          <t>C05-05</t>
        </is>
      </c>
      <c r="B215" s="2">
        <f>Key!B215</f>
        <v/>
      </c>
      <c r="C215" s="2">
        <f>Key!C215</f>
        <v/>
      </c>
      <c r="D215" s="2">
        <f>IF(Key!D215="","",Key!D215)</f>
        <v/>
      </c>
      <c r="E215" s="2">
        <f>IF(Label_ChatGPT!F98="","",Label_ChatGPT!F98)</f>
        <v/>
      </c>
      <c r="F215" s="2">
        <f>IF(Label_ChatGPT!G98="","",Label_ChatGPT!G98)</f>
        <v/>
      </c>
      <c r="G215" s="5" t="n"/>
      <c r="H215" s="2">
        <f>IF(G215&lt;&gt;"",G215,IF(AND(E215&lt;&gt;"",E215=F215,E215&lt;&gt;"unsure"),E215,""))</f>
        <v/>
      </c>
      <c r="I215" s="2">
        <f>IF(AND(OR(E215="met",E215="not_met"),OR(F215="met",F215="not_met")),1,0)</f>
        <v/>
      </c>
      <c r="J215" s="2">
        <f>IF(I215=1,IF(E215=F215,1,0),"")</f>
        <v/>
      </c>
      <c r="K215" s="2" t="n"/>
      <c r="L215" s="2" t="n"/>
      <c r="M215" s="2" t="n"/>
      <c r="N215" s="2">
        <f>IF(OR(K215="",H215=""),"",IF((K215="met")=(H215="met"),1,0))</f>
        <v/>
      </c>
      <c r="O215" s="2">
        <f>IF(OR(L215="",H215=""),"",IF((L215="met")=(H215="met"),1,0))</f>
        <v/>
      </c>
      <c r="P215" s="2">
        <f>IF(OR(M215="",H215=""),"",IF((M215="met")=(H215="met"),1,0))</f>
        <v/>
      </c>
    </row>
    <row r="216">
      <c r="A216" s="2" t="inlineStr">
        <is>
          <t>C05-06</t>
        </is>
      </c>
      <c r="B216" s="2">
        <f>Key!B216</f>
        <v/>
      </c>
      <c r="C216" s="2">
        <f>Key!C216</f>
        <v/>
      </c>
      <c r="D216" s="2">
        <f>IF(Key!D216="","",Key!D216)</f>
        <v/>
      </c>
      <c r="E216" s="2">
        <f>IF(Label_ChatGPT!F99="","",Label_ChatGPT!F99)</f>
        <v/>
      </c>
      <c r="F216" s="2">
        <f>IF(Label_ChatGPT!G99="","",Label_ChatGPT!G99)</f>
        <v/>
      </c>
      <c r="G216" s="5" t="n"/>
      <c r="H216" s="2">
        <f>IF(G216&lt;&gt;"",G216,IF(AND(E216&lt;&gt;"",E216=F216,E216&lt;&gt;"unsure"),E216,""))</f>
        <v/>
      </c>
      <c r="I216" s="2">
        <f>IF(AND(OR(E216="met",E216="not_met"),OR(F216="met",F216="not_met")),1,0)</f>
        <v/>
      </c>
      <c r="J216" s="2">
        <f>IF(I216=1,IF(E216=F216,1,0),"")</f>
        <v/>
      </c>
      <c r="K216" s="2" t="n"/>
      <c r="L216" s="2" t="n"/>
      <c r="M216" s="2" t="n"/>
      <c r="N216" s="2">
        <f>IF(OR(K216="",H216=""),"",IF((K216="met")=(H216="met"),1,0))</f>
        <v/>
      </c>
      <c r="O216" s="2">
        <f>IF(OR(L216="",H216=""),"",IF((L216="met")=(H216="met"),1,0))</f>
        <v/>
      </c>
      <c r="P216" s="2">
        <f>IF(OR(M216="",H216=""),"",IF((M216="met")=(H216="met"),1,0))</f>
        <v/>
      </c>
    </row>
    <row r="217">
      <c r="A217" s="2" t="inlineStr">
        <is>
          <t>C05-07</t>
        </is>
      </c>
      <c r="B217" s="2">
        <f>Key!B217</f>
        <v/>
      </c>
      <c r="C217" s="2">
        <f>Key!C217</f>
        <v/>
      </c>
      <c r="D217" s="2">
        <f>IF(Key!D217="","",Key!D217)</f>
        <v/>
      </c>
      <c r="E217" s="2">
        <f>IF(Label_ChatGPT!F100="","",Label_ChatGPT!F100)</f>
        <v/>
      </c>
      <c r="F217" s="2">
        <f>IF(Label_ChatGPT!G100="","",Label_ChatGPT!G100)</f>
        <v/>
      </c>
      <c r="G217" s="5" t="n"/>
      <c r="H217" s="2">
        <f>IF(G217&lt;&gt;"",G217,IF(AND(E217&lt;&gt;"",E217=F217,E217&lt;&gt;"unsure"),E217,""))</f>
        <v/>
      </c>
      <c r="I217" s="2">
        <f>IF(AND(OR(E217="met",E217="not_met"),OR(F217="met",F217="not_met")),1,0)</f>
        <v/>
      </c>
      <c r="J217" s="2">
        <f>IF(I217=1,IF(E217=F217,1,0),"")</f>
        <v/>
      </c>
      <c r="K217" s="2" t="n"/>
      <c r="L217" s="2" t="n"/>
      <c r="M217" s="2" t="n"/>
      <c r="N217" s="2">
        <f>IF(OR(K217="",H217=""),"",IF((K217="met")=(H217="met"),1,0))</f>
        <v/>
      </c>
      <c r="O217" s="2">
        <f>IF(OR(L217="",H217=""),"",IF((L217="met")=(H217="met"),1,0))</f>
        <v/>
      </c>
      <c r="P217" s="2">
        <f>IF(OR(M217="",H217=""),"",IF((M217="met")=(H217="met"),1,0))</f>
        <v/>
      </c>
    </row>
    <row r="218">
      <c r="A218" s="2" t="inlineStr">
        <is>
          <t>C05-08</t>
        </is>
      </c>
      <c r="B218" s="2">
        <f>Key!B218</f>
        <v/>
      </c>
      <c r="C218" s="2">
        <f>Key!C218</f>
        <v/>
      </c>
      <c r="D218" s="2">
        <f>IF(Key!D218="","",Key!D218)</f>
        <v/>
      </c>
      <c r="E218" s="2">
        <f>IF(Label_ChatGPT!F101="","",Label_ChatGPT!F101)</f>
        <v/>
      </c>
      <c r="F218" s="2">
        <f>IF(Label_ChatGPT!G101="","",Label_ChatGPT!G101)</f>
        <v/>
      </c>
      <c r="G218" s="5" t="n"/>
      <c r="H218" s="2">
        <f>IF(G218&lt;&gt;"",G218,IF(AND(E218&lt;&gt;"",E218=F218,E218&lt;&gt;"unsure"),E218,""))</f>
        <v/>
      </c>
      <c r="I218" s="2">
        <f>IF(AND(OR(E218="met",E218="not_met"),OR(F218="met",F218="not_met")),1,0)</f>
        <v/>
      </c>
      <c r="J218" s="2">
        <f>IF(I218=1,IF(E218=F218,1,0),"")</f>
        <v/>
      </c>
      <c r="K218" s="2" t="n"/>
      <c r="L218" s="2" t="n"/>
      <c r="M218" s="2" t="n"/>
      <c r="N218" s="2">
        <f>IF(OR(K218="",H218=""),"",IF((K218="met")=(H218="met"),1,0))</f>
        <v/>
      </c>
      <c r="O218" s="2">
        <f>IF(OR(L218="",H218=""),"",IF((L218="met")=(H218="met"),1,0))</f>
        <v/>
      </c>
      <c r="P218" s="2">
        <f>IF(OR(M218="",H218=""),"",IF((M218="met")=(H218="met"),1,0))</f>
        <v/>
      </c>
    </row>
    <row r="219">
      <c r="A219" s="2" t="inlineStr">
        <is>
          <t>C05-09</t>
        </is>
      </c>
      <c r="B219" s="2">
        <f>Key!B219</f>
        <v/>
      </c>
      <c r="C219" s="2">
        <f>Key!C219</f>
        <v/>
      </c>
      <c r="D219" s="2">
        <f>IF(Key!D219="","",Key!D219)</f>
        <v/>
      </c>
      <c r="E219" s="2">
        <f>IF(Label_ChatGPT!F102="","",Label_ChatGPT!F102)</f>
        <v/>
      </c>
      <c r="F219" s="2">
        <f>IF(Label_ChatGPT!G102="","",Label_ChatGPT!G102)</f>
        <v/>
      </c>
      <c r="G219" s="5" t="n"/>
      <c r="H219" s="2">
        <f>IF(G219&lt;&gt;"",G219,IF(AND(E219&lt;&gt;"",E219=F219,E219&lt;&gt;"unsure"),E219,""))</f>
        <v/>
      </c>
      <c r="I219" s="2">
        <f>IF(AND(OR(E219="met",E219="not_met"),OR(F219="met",F219="not_met")),1,0)</f>
        <v/>
      </c>
      <c r="J219" s="2">
        <f>IF(I219=1,IF(E219=F219,1,0),"")</f>
        <v/>
      </c>
      <c r="K219" s="2" t="n"/>
      <c r="L219" s="2" t="n"/>
      <c r="M219" s="2" t="n"/>
      <c r="N219" s="2">
        <f>IF(OR(K219="",H219=""),"",IF((K219="met")=(H219="met"),1,0))</f>
        <v/>
      </c>
      <c r="O219" s="2">
        <f>IF(OR(L219="",H219=""),"",IF((L219="met")=(H219="met"),1,0))</f>
        <v/>
      </c>
      <c r="P219" s="2">
        <f>IF(OR(M219="",H219=""),"",IF((M219="met")=(H219="met"),1,0))</f>
        <v/>
      </c>
    </row>
    <row r="220">
      <c r="A220" s="2" t="inlineStr">
        <is>
          <t>C05-10</t>
        </is>
      </c>
      <c r="B220" s="2">
        <f>Key!B220</f>
        <v/>
      </c>
      <c r="C220" s="2">
        <f>Key!C220</f>
        <v/>
      </c>
      <c r="D220" s="2">
        <f>IF(Key!D220="","",Key!D220)</f>
        <v/>
      </c>
      <c r="E220" s="2">
        <f>IF(Label_ChatGPT!F103="","",Label_ChatGPT!F103)</f>
        <v/>
      </c>
      <c r="F220" s="2">
        <f>IF(Label_ChatGPT!G103="","",Label_ChatGPT!G103)</f>
        <v/>
      </c>
      <c r="G220" s="5" t="n"/>
      <c r="H220" s="2">
        <f>IF(G220&lt;&gt;"",G220,IF(AND(E220&lt;&gt;"",E220=F220,E220&lt;&gt;"unsure"),E220,""))</f>
        <v/>
      </c>
      <c r="I220" s="2">
        <f>IF(AND(OR(E220="met",E220="not_met"),OR(F220="met",F220="not_met")),1,0)</f>
        <v/>
      </c>
      <c r="J220" s="2">
        <f>IF(I220=1,IF(E220=F220,1,0),"")</f>
        <v/>
      </c>
      <c r="K220" s="2" t="n"/>
      <c r="L220" s="2" t="n"/>
      <c r="M220" s="2" t="n"/>
      <c r="N220" s="2">
        <f>IF(OR(K220="",H220=""),"",IF((K220="met")=(H220="met"),1,0))</f>
        <v/>
      </c>
      <c r="O220" s="2">
        <f>IF(OR(L220="",H220=""),"",IF((L220="met")=(H220="met"),1,0))</f>
        <v/>
      </c>
      <c r="P220" s="2">
        <f>IF(OR(M220="",H220=""),"",IF((M220="met")=(H220="met"),1,0))</f>
        <v/>
      </c>
    </row>
    <row r="221">
      <c r="A221" s="2" t="inlineStr">
        <is>
          <t>C05-11</t>
        </is>
      </c>
      <c r="B221" s="2">
        <f>Key!B221</f>
        <v/>
      </c>
      <c r="C221" s="2">
        <f>Key!C221</f>
        <v/>
      </c>
      <c r="D221" s="2">
        <f>IF(Key!D221="","",Key!D221)</f>
        <v/>
      </c>
      <c r="E221" s="2">
        <f>IF(Label_ChatGPT!F104="","",Label_ChatGPT!F104)</f>
        <v/>
      </c>
      <c r="F221" s="2">
        <f>IF(Label_ChatGPT!G104="","",Label_ChatGPT!G104)</f>
        <v/>
      </c>
      <c r="G221" s="5" t="n"/>
      <c r="H221" s="2">
        <f>IF(G221&lt;&gt;"",G221,IF(AND(E221&lt;&gt;"",E221=F221,E221&lt;&gt;"unsure"),E221,""))</f>
        <v/>
      </c>
      <c r="I221" s="2">
        <f>IF(AND(OR(E221="met",E221="not_met"),OR(F221="met",F221="not_met")),1,0)</f>
        <v/>
      </c>
      <c r="J221" s="2">
        <f>IF(I221=1,IF(E221=F221,1,0),"")</f>
        <v/>
      </c>
      <c r="K221" s="2" t="n"/>
      <c r="L221" s="2" t="n"/>
      <c r="M221" s="2" t="n"/>
      <c r="N221" s="2">
        <f>IF(OR(K221="",H221=""),"",IF((K221="met")=(H221="met"),1,0))</f>
        <v/>
      </c>
      <c r="O221" s="2">
        <f>IF(OR(L221="",H221=""),"",IF((L221="met")=(H221="met"),1,0))</f>
        <v/>
      </c>
      <c r="P221" s="2">
        <f>IF(OR(M221="",H221=""),"",IF((M221="met")=(H221="met"),1,0))</f>
        <v/>
      </c>
    </row>
    <row r="222">
      <c r="A222" s="2" t="inlineStr">
        <is>
          <t>C05-12</t>
        </is>
      </c>
      <c r="B222" s="2">
        <f>Key!B222</f>
        <v/>
      </c>
      <c r="C222" s="2">
        <f>Key!C222</f>
        <v/>
      </c>
      <c r="D222" s="2">
        <f>IF(Key!D222="","",Key!D222)</f>
        <v/>
      </c>
      <c r="E222" s="2">
        <f>IF(Label_ChatGPT!F105="","",Label_ChatGPT!F105)</f>
        <v/>
      </c>
      <c r="F222" s="2">
        <f>IF(Label_ChatGPT!G105="","",Label_ChatGPT!G105)</f>
        <v/>
      </c>
      <c r="G222" s="5" t="n"/>
      <c r="H222" s="2">
        <f>IF(G222&lt;&gt;"",G222,IF(AND(E222&lt;&gt;"",E222=F222,E222&lt;&gt;"unsure"),E222,""))</f>
        <v/>
      </c>
      <c r="I222" s="2">
        <f>IF(AND(OR(E222="met",E222="not_met"),OR(F222="met",F222="not_met")),1,0)</f>
        <v/>
      </c>
      <c r="J222" s="2">
        <f>IF(I222=1,IF(E222=F222,1,0),"")</f>
        <v/>
      </c>
      <c r="K222" s="2" t="n"/>
      <c r="L222" s="2" t="n"/>
      <c r="M222" s="2" t="n"/>
      <c r="N222" s="2">
        <f>IF(OR(K222="",H222=""),"",IF((K222="met")=(H222="met"),1,0))</f>
        <v/>
      </c>
      <c r="O222" s="2">
        <f>IF(OR(L222="",H222=""),"",IF((L222="met")=(H222="met"),1,0))</f>
        <v/>
      </c>
      <c r="P222" s="2">
        <f>IF(OR(M222="",H222=""),"",IF((M222="met")=(H222="met"),1,0))</f>
        <v/>
      </c>
    </row>
    <row r="223">
      <c r="A223" s="2" t="inlineStr">
        <is>
          <t>C05-13</t>
        </is>
      </c>
      <c r="B223" s="2">
        <f>Key!B223</f>
        <v/>
      </c>
      <c r="C223" s="2">
        <f>Key!C223</f>
        <v/>
      </c>
      <c r="D223" s="2">
        <f>IF(Key!D223="","",Key!D223)</f>
        <v/>
      </c>
      <c r="E223" s="2">
        <f>IF(Label_ChatGPT!F106="","",Label_ChatGPT!F106)</f>
        <v/>
      </c>
      <c r="F223" s="2">
        <f>IF(Label_ChatGPT!G106="","",Label_ChatGPT!G106)</f>
        <v/>
      </c>
      <c r="G223" s="5" t="n"/>
      <c r="H223" s="2">
        <f>IF(G223&lt;&gt;"",G223,IF(AND(E223&lt;&gt;"",E223=F223,E223&lt;&gt;"unsure"),E223,""))</f>
        <v/>
      </c>
      <c r="I223" s="2">
        <f>IF(AND(OR(E223="met",E223="not_met"),OR(F223="met",F223="not_met")),1,0)</f>
        <v/>
      </c>
      <c r="J223" s="2">
        <f>IF(I223=1,IF(E223=F223,1,0),"")</f>
        <v/>
      </c>
      <c r="K223" s="2" t="n"/>
      <c r="L223" s="2" t="n"/>
      <c r="M223" s="2" t="n"/>
      <c r="N223" s="2">
        <f>IF(OR(K223="",H223=""),"",IF((K223="met")=(H223="met"),1,0))</f>
        <v/>
      </c>
      <c r="O223" s="2">
        <f>IF(OR(L223="",H223=""),"",IF((L223="met")=(H223="met"),1,0))</f>
        <v/>
      </c>
      <c r="P223" s="2">
        <f>IF(OR(M223="",H223=""),"",IF((M223="met")=(H223="met"),1,0))</f>
        <v/>
      </c>
    </row>
    <row r="224">
      <c r="A224" s="2" t="inlineStr">
        <is>
          <t>C05-14</t>
        </is>
      </c>
      <c r="B224" s="2">
        <f>Key!B224</f>
        <v/>
      </c>
      <c r="C224" s="2">
        <f>Key!C224</f>
        <v/>
      </c>
      <c r="D224" s="2">
        <f>IF(Key!D224="","",Key!D224)</f>
        <v/>
      </c>
      <c r="E224" s="2">
        <f>IF(Label_ChatGPT!F107="","",Label_ChatGPT!F107)</f>
        <v/>
      </c>
      <c r="F224" s="2">
        <f>IF(Label_ChatGPT!G107="","",Label_ChatGPT!G107)</f>
        <v/>
      </c>
      <c r="G224" s="5" t="n"/>
      <c r="H224" s="2">
        <f>IF(G224&lt;&gt;"",G224,IF(AND(E224&lt;&gt;"",E224=F224,E224&lt;&gt;"unsure"),E224,""))</f>
        <v/>
      </c>
      <c r="I224" s="2">
        <f>IF(AND(OR(E224="met",E224="not_met"),OR(F224="met",F224="not_met")),1,0)</f>
        <v/>
      </c>
      <c r="J224" s="2">
        <f>IF(I224=1,IF(E224=F224,1,0),"")</f>
        <v/>
      </c>
      <c r="K224" s="2" t="n"/>
      <c r="L224" s="2" t="n"/>
      <c r="M224" s="2" t="n"/>
      <c r="N224" s="2">
        <f>IF(OR(K224="",H224=""),"",IF((K224="met")=(H224="met"),1,0))</f>
        <v/>
      </c>
      <c r="O224" s="2">
        <f>IF(OR(L224="",H224=""),"",IF((L224="met")=(H224="met"),1,0))</f>
        <v/>
      </c>
      <c r="P224" s="2">
        <f>IF(OR(M224="",H224=""),"",IF((M224="met")=(H224="met"),1,0))</f>
        <v/>
      </c>
    </row>
    <row r="225">
      <c r="A225" s="2" t="inlineStr">
        <is>
          <t>C05-15</t>
        </is>
      </c>
      <c r="B225" s="2">
        <f>Key!B225</f>
        <v/>
      </c>
      <c r="C225" s="2">
        <f>Key!C225</f>
        <v/>
      </c>
      <c r="D225" s="2">
        <f>IF(Key!D225="","",Key!D225)</f>
        <v/>
      </c>
      <c r="E225" s="2">
        <f>IF(Label_ChatGPT!F108="","",Label_ChatGPT!F108)</f>
        <v/>
      </c>
      <c r="F225" s="2">
        <f>IF(Label_ChatGPT!G108="","",Label_ChatGPT!G108)</f>
        <v/>
      </c>
      <c r="G225" s="5" t="n"/>
      <c r="H225" s="2">
        <f>IF(G225&lt;&gt;"",G225,IF(AND(E225&lt;&gt;"",E225=F225,E225&lt;&gt;"unsure"),E225,""))</f>
        <v/>
      </c>
      <c r="I225" s="2">
        <f>IF(AND(OR(E225="met",E225="not_met"),OR(F225="met",F225="not_met")),1,0)</f>
        <v/>
      </c>
      <c r="J225" s="2">
        <f>IF(I225=1,IF(E225=F225,1,0),"")</f>
        <v/>
      </c>
      <c r="K225" s="2" t="n"/>
      <c r="L225" s="2" t="n"/>
      <c r="M225" s="2" t="n"/>
      <c r="N225" s="2">
        <f>IF(OR(K225="",H225=""),"",IF((K225="met")=(H225="met"),1,0))</f>
        <v/>
      </c>
      <c r="O225" s="2">
        <f>IF(OR(L225="",H225=""),"",IF((L225="met")=(H225="met"),1,0))</f>
        <v/>
      </c>
      <c r="P225" s="2">
        <f>IF(OR(M225="",H225=""),"",IF((M225="met")=(H225="met"),1,0))</f>
        <v/>
      </c>
    </row>
    <row r="226">
      <c r="A226" s="2" t="inlineStr">
        <is>
          <t>C05-16</t>
        </is>
      </c>
      <c r="B226" s="2">
        <f>Key!B226</f>
        <v/>
      </c>
      <c r="C226" s="2">
        <f>Key!C226</f>
        <v/>
      </c>
      <c r="D226" s="2">
        <f>IF(Key!D226="","",Key!D226)</f>
        <v/>
      </c>
      <c r="E226" s="2">
        <f>IF(Label_ChatGPT!F109="","",Label_ChatGPT!F109)</f>
        <v/>
      </c>
      <c r="F226" s="2">
        <f>IF(Label_ChatGPT!G109="","",Label_ChatGPT!G109)</f>
        <v/>
      </c>
      <c r="G226" s="5" t="n"/>
      <c r="H226" s="2">
        <f>IF(G226&lt;&gt;"",G226,IF(AND(E226&lt;&gt;"",E226=F226,E226&lt;&gt;"unsure"),E226,""))</f>
        <v/>
      </c>
      <c r="I226" s="2">
        <f>IF(AND(OR(E226="met",E226="not_met"),OR(F226="met",F226="not_met")),1,0)</f>
        <v/>
      </c>
      <c r="J226" s="2">
        <f>IF(I226=1,IF(E226=F226,1,0),"")</f>
        <v/>
      </c>
      <c r="K226" s="2" t="n"/>
      <c r="L226" s="2" t="n"/>
      <c r="M226" s="2" t="n"/>
      <c r="N226" s="2">
        <f>IF(OR(K226="",H226=""),"",IF((K226="met")=(H226="met"),1,0))</f>
        <v/>
      </c>
      <c r="O226" s="2">
        <f>IF(OR(L226="",H226=""),"",IF((L226="met")=(H226="met"),1,0))</f>
        <v/>
      </c>
      <c r="P226" s="2">
        <f>IF(OR(M226="",H226=""),"",IF((M226="met")=(H226="met"),1,0))</f>
        <v/>
      </c>
    </row>
    <row r="227">
      <c r="A227" s="2" t="inlineStr">
        <is>
          <t>C05-17</t>
        </is>
      </c>
      <c r="B227" s="2">
        <f>Key!B227</f>
        <v/>
      </c>
      <c r="C227" s="2">
        <f>Key!C227</f>
        <v/>
      </c>
      <c r="D227" s="2">
        <f>IF(Key!D227="","",Key!D227)</f>
        <v/>
      </c>
      <c r="E227" s="2">
        <f>IF(Label_ChatGPT!F110="","",Label_ChatGPT!F110)</f>
        <v/>
      </c>
      <c r="F227" s="2">
        <f>IF(Label_ChatGPT!G110="","",Label_ChatGPT!G110)</f>
        <v/>
      </c>
      <c r="G227" s="5" t="n"/>
      <c r="H227" s="2">
        <f>IF(G227&lt;&gt;"",G227,IF(AND(E227&lt;&gt;"",E227=F227,E227&lt;&gt;"unsure"),E227,""))</f>
        <v/>
      </c>
      <c r="I227" s="2">
        <f>IF(AND(OR(E227="met",E227="not_met"),OR(F227="met",F227="not_met")),1,0)</f>
        <v/>
      </c>
      <c r="J227" s="2">
        <f>IF(I227=1,IF(E227=F227,1,0),"")</f>
        <v/>
      </c>
      <c r="K227" s="2" t="n"/>
      <c r="L227" s="2" t="n"/>
      <c r="M227" s="2" t="n"/>
      <c r="N227" s="2">
        <f>IF(OR(K227="",H227=""),"",IF((K227="met")=(H227="met"),1,0))</f>
        <v/>
      </c>
      <c r="O227" s="2">
        <f>IF(OR(L227="",H227=""),"",IF((L227="met")=(H227="met"),1,0))</f>
        <v/>
      </c>
      <c r="P227" s="2">
        <f>IF(OR(M227="",H227=""),"",IF((M227="met")=(H227="met"),1,0))</f>
        <v/>
      </c>
    </row>
    <row r="228">
      <c r="A228" s="2" t="inlineStr">
        <is>
          <t>C05-18</t>
        </is>
      </c>
      <c r="B228" s="2">
        <f>Key!B228</f>
        <v/>
      </c>
      <c r="C228" s="2">
        <f>Key!C228</f>
        <v/>
      </c>
      <c r="D228" s="2">
        <f>IF(Key!D228="","",Key!D228)</f>
        <v/>
      </c>
      <c r="E228" s="2">
        <f>IF(Label_ChatGPT!F111="","",Label_ChatGPT!F111)</f>
        <v/>
      </c>
      <c r="F228" s="2">
        <f>IF(Label_ChatGPT!G111="","",Label_ChatGPT!G111)</f>
        <v/>
      </c>
      <c r="G228" s="5" t="n"/>
      <c r="H228" s="2">
        <f>IF(G228&lt;&gt;"",G228,IF(AND(E228&lt;&gt;"",E228=F228,E228&lt;&gt;"unsure"),E228,""))</f>
        <v/>
      </c>
      <c r="I228" s="2">
        <f>IF(AND(OR(E228="met",E228="not_met"),OR(F228="met",F228="not_met")),1,0)</f>
        <v/>
      </c>
      <c r="J228" s="2">
        <f>IF(I228=1,IF(E228=F228,1,0),"")</f>
        <v/>
      </c>
      <c r="K228" s="2" t="n"/>
      <c r="L228" s="2" t="n"/>
      <c r="M228" s="2" t="n"/>
      <c r="N228" s="2">
        <f>IF(OR(K228="",H228=""),"",IF((K228="met")=(H228="met"),1,0))</f>
        <v/>
      </c>
      <c r="O228" s="2">
        <f>IF(OR(L228="",H228=""),"",IF((L228="met")=(H228="met"),1,0))</f>
        <v/>
      </c>
      <c r="P228" s="2">
        <f>IF(OR(M228="",H228=""),"",IF((M228="met")=(H228="met"),1,0))</f>
        <v/>
      </c>
    </row>
    <row r="229">
      <c r="A229" s="2" t="inlineStr">
        <is>
          <t>C05-19</t>
        </is>
      </c>
      <c r="B229" s="2">
        <f>Key!B229</f>
        <v/>
      </c>
      <c r="C229" s="2">
        <f>Key!C229</f>
        <v/>
      </c>
      <c r="D229" s="2">
        <f>IF(Key!D229="","",Key!D229)</f>
        <v/>
      </c>
      <c r="E229" s="2">
        <f>IF(Label_ChatGPT!F112="","",Label_ChatGPT!F112)</f>
        <v/>
      </c>
      <c r="F229" s="2">
        <f>IF(Label_ChatGPT!G112="","",Label_ChatGPT!G112)</f>
        <v/>
      </c>
      <c r="G229" s="5" t="n"/>
      <c r="H229" s="2">
        <f>IF(G229&lt;&gt;"",G229,IF(AND(E229&lt;&gt;"",E229=F229,E229&lt;&gt;"unsure"),E229,""))</f>
        <v/>
      </c>
      <c r="I229" s="2">
        <f>IF(AND(OR(E229="met",E229="not_met"),OR(F229="met",F229="not_met")),1,0)</f>
        <v/>
      </c>
      <c r="J229" s="2">
        <f>IF(I229=1,IF(E229=F229,1,0),"")</f>
        <v/>
      </c>
      <c r="K229" s="2" t="n"/>
      <c r="L229" s="2" t="n"/>
      <c r="M229" s="2" t="n"/>
      <c r="N229" s="2">
        <f>IF(OR(K229="",H229=""),"",IF((K229="met")=(H229="met"),1,0))</f>
        <v/>
      </c>
      <c r="O229" s="2">
        <f>IF(OR(L229="",H229=""),"",IF((L229="met")=(H229="met"),1,0))</f>
        <v/>
      </c>
      <c r="P229" s="2">
        <f>IF(OR(M229="",H229=""),"",IF((M229="met")=(H229="met"),1,0))</f>
        <v/>
      </c>
    </row>
    <row r="230">
      <c r="A230" s="2" t="inlineStr">
        <is>
          <t>C06-01</t>
        </is>
      </c>
      <c r="B230" s="2">
        <f>Key!B230</f>
        <v/>
      </c>
      <c r="C230" s="2">
        <f>Key!C230</f>
        <v/>
      </c>
      <c r="D230" s="2">
        <f>IF(Key!D230="","",Key!D230)</f>
        <v/>
      </c>
      <c r="E230" s="2">
        <f>IF(Label_ChatGPT!F113="","",Label_ChatGPT!F113)</f>
        <v/>
      </c>
      <c r="F230" s="2">
        <f>IF(Label_ChatGPT!G113="","",Label_ChatGPT!G113)</f>
        <v/>
      </c>
      <c r="G230" s="5" t="n"/>
      <c r="H230" s="2">
        <f>IF(G230&lt;&gt;"",G230,IF(AND(E230&lt;&gt;"",E230=F230,E230&lt;&gt;"unsure"),E230,""))</f>
        <v/>
      </c>
      <c r="I230" s="2">
        <f>IF(AND(OR(E230="met",E230="not_met"),OR(F230="met",F230="not_met")),1,0)</f>
        <v/>
      </c>
      <c r="J230" s="2">
        <f>IF(I230=1,IF(E230=F230,1,0),"")</f>
        <v/>
      </c>
      <c r="K230" s="2" t="n"/>
      <c r="L230" s="2" t="n"/>
      <c r="M230" s="2" t="n"/>
      <c r="N230" s="2">
        <f>IF(OR(K230="",H230=""),"",IF((K230="met")=(H230="met"),1,0))</f>
        <v/>
      </c>
      <c r="O230" s="2">
        <f>IF(OR(L230="",H230=""),"",IF((L230="met")=(H230="met"),1,0))</f>
        <v/>
      </c>
      <c r="P230" s="2">
        <f>IF(OR(M230="",H230=""),"",IF((M230="met")=(H230="met"),1,0))</f>
        <v/>
      </c>
    </row>
    <row r="231">
      <c r="A231" s="2" t="inlineStr">
        <is>
          <t>C06-02</t>
        </is>
      </c>
      <c r="B231" s="2">
        <f>Key!B231</f>
        <v/>
      </c>
      <c r="C231" s="2">
        <f>Key!C231</f>
        <v/>
      </c>
      <c r="D231" s="2">
        <f>IF(Key!D231="","",Key!D231)</f>
        <v/>
      </c>
      <c r="E231" s="2">
        <f>IF(Label_ChatGPT!F114="","",Label_ChatGPT!F114)</f>
        <v/>
      </c>
      <c r="F231" s="2">
        <f>IF(Label_ChatGPT!G114="","",Label_ChatGPT!G114)</f>
        <v/>
      </c>
      <c r="G231" s="5" t="n"/>
      <c r="H231" s="2">
        <f>IF(G231&lt;&gt;"",G231,IF(AND(E231&lt;&gt;"",E231=F231,E231&lt;&gt;"unsure"),E231,""))</f>
        <v/>
      </c>
      <c r="I231" s="2">
        <f>IF(AND(OR(E231="met",E231="not_met"),OR(F231="met",F231="not_met")),1,0)</f>
        <v/>
      </c>
      <c r="J231" s="2">
        <f>IF(I231=1,IF(E231=F231,1,0),"")</f>
        <v/>
      </c>
      <c r="K231" s="2" t="n"/>
      <c r="L231" s="2" t="n"/>
      <c r="M231" s="2" t="n"/>
      <c r="N231" s="2">
        <f>IF(OR(K231="",H231=""),"",IF((K231="met")=(H231="met"),1,0))</f>
        <v/>
      </c>
      <c r="O231" s="2">
        <f>IF(OR(L231="",H231=""),"",IF((L231="met")=(H231="met"),1,0))</f>
        <v/>
      </c>
      <c r="P231" s="2">
        <f>IF(OR(M231="",H231=""),"",IF((M231="met")=(H231="met"),1,0))</f>
        <v/>
      </c>
    </row>
    <row r="232">
      <c r="A232" s="2" t="inlineStr">
        <is>
          <t>C06-03</t>
        </is>
      </c>
      <c r="B232" s="2">
        <f>Key!B232</f>
        <v/>
      </c>
      <c r="C232" s="2">
        <f>Key!C232</f>
        <v/>
      </c>
      <c r="D232" s="2">
        <f>IF(Key!D232="","",Key!D232)</f>
        <v/>
      </c>
      <c r="E232" s="2">
        <f>IF(Label_ChatGPT!F115="","",Label_ChatGPT!F115)</f>
        <v/>
      </c>
      <c r="F232" s="2">
        <f>IF(Label_ChatGPT!G115="","",Label_ChatGPT!G115)</f>
        <v/>
      </c>
      <c r="G232" s="5" t="n"/>
      <c r="H232" s="2">
        <f>IF(G232&lt;&gt;"",G232,IF(AND(E232&lt;&gt;"",E232=F232,E232&lt;&gt;"unsure"),E232,""))</f>
        <v/>
      </c>
      <c r="I232" s="2">
        <f>IF(AND(OR(E232="met",E232="not_met"),OR(F232="met",F232="not_met")),1,0)</f>
        <v/>
      </c>
      <c r="J232" s="2">
        <f>IF(I232=1,IF(E232=F232,1,0),"")</f>
        <v/>
      </c>
      <c r="K232" s="2" t="n"/>
      <c r="L232" s="2" t="n"/>
      <c r="M232" s="2" t="n"/>
      <c r="N232" s="2">
        <f>IF(OR(K232="",H232=""),"",IF((K232="met")=(H232="met"),1,0))</f>
        <v/>
      </c>
      <c r="O232" s="2">
        <f>IF(OR(L232="",H232=""),"",IF((L232="met")=(H232="met"),1,0))</f>
        <v/>
      </c>
      <c r="P232" s="2">
        <f>IF(OR(M232="",H232=""),"",IF((M232="met")=(H232="met"),1,0))</f>
        <v/>
      </c>
    </row>
    <row r="233">
      <c r="A233" s="2" t="inlineStr">
        <is>
          <t>C06-04</t>
        </is>
      </c>
      <c r="B233" s="2">
        <f>Key!B233</f>
        <v/>
      </c>
      <c r="C233" s="2">
        <f>Key!C233</f>
        <v/>
      </c>
      <c r="D233" s="2">
        <f>IF(Key!D233="","",Key!D233)</f>
        <v/>
      </c>
      <c r="E233" s="2">
        <f>IF(Label_ChatGPT!F116="","",Label_ChatGPT!F116)</f>
        <v/>
      </c>
      <c r="F233" s="2">
        <f>IF(Label_ChatGPT!G116="","",Label_ChatGPT!G116)</f>
        <v/>
      </c>
      <c r="G233" s="5" t="n"/>
      <c r="H233" s="2">
        <f>IF(G233&lt;&gt;"",G233,IF(AND(E233&lt;&gt;"",E233=F233,E233&lt;&gt;"unsure"),E233,""))</f>
        <v/>
      </c>
      <c r="I233" s="2">
        <f>IF(AND(OR(E233="met",E233="not_met"),OR(F233="met",F233="not_met")),1,0)</f>
        <v/>
      </c>
      <c r="J233" s="2">
        <f>IF(I233=1,IF(E233=F233,1,0),"")</f>
        <v/>
      </c>
      <c r="K233" s="2" t="n"/>
      <c r="L233" s="2" t="n"/>
      <c r="M233" s="2" t="n"/>
      <c r="N233" s="2">
        <f>IF(OR(K233="",H233=""),"",IF((K233="met")=(H233="met"),1,0))</f>
        <v/>
      </c>
      <c r="O233" s="2">
        <f>IF(OR(L233="",H233=""),"",IF((L233="met")=(H233="met"),1,0))</f>
        <v/>
      </c>
      <c r="P233" s="2">
        <f>IF(OR(M233="",H233=""),"",IF((M233="met")=(H233="met"),1,0))</f>
        <v/>
      </c>
    </row>
    <row r="234">
      <c r="A234" s="2" t="inlineStr">
        <is>
          <t>C06-05</t>
        </is>
      </c>
      <c r="B234" s="2">
        <f>Key!B234</f>
        <v/>
      </c>
      <c r="C234" s="2">
        <f>Key!C234</f>
        <v/>
      </c>
      <c r="D234" s="2">
        <f>IF(Key!D234="","",Key!D234)</f>
        <v/>
      </c>
      <c r="E234" s="2">
        <f>IF(Label_ChatGPT!F117="","",Label_ChatGPT!F117)</f>
        <v/>
      </c>
      <c r="F234" s="2">
        <f>IF(Label_ChatGPT!G117="","",Label_ChatGPT!G117)</f>
        <v/>
      </c>
      <c r="G234" s="5" t="n"/>
      <c r="H234" s="2">
        <f>IF(G234&lt;&gt;"",G234,IF(AND(E234&lt;&gt;"",E234=F234,E234&lt;&gt;"unsure"),E234,""))</f>
        <v/>
      </c>
      <c r="I234" s="2">
        <f>IF(AND(OR(E234="met",E234="not_met"),OR(F234="met",F234="not_met")),1,0)</f>
        <v/>
      </c>
      <c r="J234" s="2">
        <f>IF(I234=1,IF(E234=F234,1,0),"")</f>
        <v/>
      </c>
      <c r="K234" s="2" t="n"/>
      <c r="L234" s="2" t="n"/>
      <c r="M234" s="2" t="n"/>
      <c r="N234" s="2">
        <f>IF(OR(K234="",H234=""),"",IF((K234="met")=(H234="met"),1,0))</f>
        <v/>
      </c>
      <c r="O234" s="2">
        <f>IF(OR(L234="",H234=""),"",IF((L234="met")=(H234="met"),1,0))</f>
        <v/>
      </c>
      <c r="P234" s="2">
        <f>IF(OR(M234="",H234=""),"",IF((M234="met")=(H234="met"),1,0))</f>
        <v/>
      </c>
    </row>
    <row r="235">
      <c r="A235" s="2" t="inlineStr">
        <is>
          <t>C06-06</t>
        </is>
      </c>
      <c r="B235" s="2">
        <f>Key!B235</f>
        <v/>
      </c>
      <c r="C235" s="2">
        <f>Key!C235</f>
        <v/>
      </c>
      <c r="D235" s="2">
        <f>IF(Key!D235="","",Key!D235)</f>
        <v/>
      </c>
      <c r="E235" s="2">
        <f>IF(Label_ChatGPT!F118="","",Label_ChatGPT!F118)</f>
        <v/>
      </c>
      <c r="F235" s="2">
        <f>IF(Label_ChatGPT!G118="","",Label_ChatGPT!G118)</f>
        <v/>
      </c>
      <c r="G235" s="5" t="n"/>
      <c r="H235" s="2">
        <f>IF(G235&lt;&gt;"",G235,IF(AND(E235&lt;&gt;"",E235=F235,E235&lt;&gt;"unsure"),E235,""))</f>
        <v/>
      </c>
      <c r="I235" s="2">
        <f>IF(AND(OR(E235="met",E235="not_met"),OR(F235="met",F235="not_met")),1,0)</f>
        <v/>
      </c>
      <c r="J235" s="2">
        <f>IF(I235=1,IF(E235=F235,1,0),"")</f>
        <v/>
      </c>
      <c r="K235" s="2" t="n"/>
      <c r="L235" s="2" t="n"/>
      <c r="M235" s="2" t="n"/>
      <c r="N235" s="2">
        <f>IF(OR(K235="",H235=""),"",IF((K235="met")=(H235="met"),1,0))</f>
        <v/>
      </c>
      <c r="O235" s="2">
        <f>IF(OR(L235="",H235=""),"",IF((L235="met")=(H235="met"),1,0))</f>
        <v/>
      </c>
      <c r="P235" s="2">
        <f>IF(OR(M235="",H235=""),"",IF((M235="met")=(H235="met"),1,0))</f>
        <v/>
      </c>
    </row>
    <row r="236">
      <c r="A236" s="2" t="inlineStr">
        <is>
          <t>C06-07</t>
        </is>
      </c>
      <c r="B236" s="2">
        <f>Key!B236</f>
        <v/>
      </c>
      <c r="C236" s="2">
        <f>Key!C236</f>
        <v/>
      </c>
      <c r="D236" s="2">
        <f>IF(Key!D236="","",Key!D236)</f>
        <v/>
      </c>
      <c r="E236" s="2">
        <f>IF(Label_ChatGPT!F119="","",Label_ChatGPT!F119)</f>
        <v/>
      </c>
      <c r="F236" s="2">
        <f>IF(Label_ChatGPT!G119="","",Label_ChatGPT!G119)</f>
        <v/>
      </c>
      <c r="G236" s="5" t="n"/>
      <c r="H236" s="2">
        <f>IF(G236&lt;&gt;"",G236,IF(AND(E236&lt;&gt;"",E236=F236,E236&lt;&gt;"unsure"),E236,""))</f>
        <v/>
      </c>
      <c r="I236" s="2">
        <f>IF(AND(OR(E236="met",E236="not_met"),OR(F236="met",F236="not_met")),1,0)</f>
        <v/>
      </c>
      <c r="J236" s="2">
        <f>IF(I236=1,IF(E236=F236,1,0),"")</f>
        <v/>
      </c>
      <c r="K236" s="2" t="n"/>
      <c r="L236" s="2" t="n"/>
      <c r="M236" s="2" t="n"/>
      <c r="N236" s="2">
        <f>IF(OR(K236="",H236=""),"",IF((K236="met")=(H236="met"),1,0))</f>
        <v/>
      </c>
      <c r="O236" s="2">
        <f>IF(OR(L236="",H236=""),"",IF((L236="met")=(H236="met"),1,0))</f>
        <v/>
      </c>
      <c r="P236" s="2">
        <f>IF(OR(M236="",H236=""),"",IF((M236="met")=(H236="met"),1,0))</f>
        <v/>
      </c>
    </row>
    <row r="237">
      <c r="A237" s="2" t="inlineStr">
        <is>
          <t>C06-08</t>
        </is>
      </c>
      <c r="B237" s="2">
        <f>Key!B237</f>
        <v/>
      </c>
      <c r="C237" s="2">
        <f>Key!C237</f>
        <v/>
      </c>
      <c r="D237" s="2">
        <f>IF(Key!D237="","",Key!D237)</f>
        <v/>
      </c>
      <c r="E237" s="2">
        <f>IF(Label_ChatGPT!F120="","",Label_ChatGPT!F120)</f>
        <v/>
      </c>
      <c r="F237" s="2">
        <f>IF(Label_ChatGPT!G120="","",Label_ChatGPT!G120)</f>
        <v/>
      </c>
      <c r="G237" s="5" t="n"/>
      <c r="H237" s="2">
        <f>IF(G237&lt;&gt;"",G237,IF(AND(E237&lt;&gt;"",E237=F237,E237&lt;&gt;"unsure"),E237,""))</f>
        <v/>
      </c>
      <c r="I237" s="2">
        <f>IF(AND(OR(E237="met",E237="not_met"),OR(F237="met",F237="not_met")),1,0)</f>
        <v/>
      </c>
      <c r="J237" s="2">
        <f>IF(I237=1,IF(E237=F237,1,0),"")</f>
        <v/>
      </c>
      <c r="K237" s="2" t="n"/>
      <c r="L237" s="2" t="n"/>
      <c r="M237" s="2" t="n"/>
      <c r="N237" s="2">
        <f>IF(OR(K237="",H237=""),"",IF((K237="met")=(H237="met"),1,0))</f>
        <v/>
      </c>
      <c r="O237" s="2">
        <f>IF(OR(L237="",H237=""),"",IF((L237="met")=(H237="met"),1,0))</f>
        <v/>
      </c>
      <c r="P237" s="2">
        <f>IF(OR(M237="",H237=""),"",IF((M237="met")=(H237="met"),1,0))</f>
        <v/>
      </c>
    </row>
    <row r="238">
      <c r="A238" s="2" t="inlineStr">
        <is>
          <t>C06-09</t>
        </is>
      </c>
      <c r="B238" s="2">
        <f>Key!B238</f>
        <v/>
      </c>
      <c r="C238" s="2">
        <f>Key!C238</f>
        <v/>
      </c>
      <c r="D238" s="2">
        <f>IF(Key!D238="","",Key!D238)</f>
        <v/>
      </c>
      <c r="E238" s="2">
        <f>IF(Label_ChatGPT!F121="","",Label_ChatGPT!F121)</f>
        <v/>
      </c>
      <c r="F238" s="2">
        <f>IF(Label_ChatGPT!G121="","",Label_ChatGPT!G121)</f>
        <v/>
      </c>
      <c r="G238" s="5" t="n"/>
      <c r="H238" s="2">
        <f>IF(G238&lt;&gt;"",G238,IF(AND(E238&lt;&gt;"",E238=F238,E238&lt;&gt;"unsure"),E238,""))</f>
        <v/>
      </c>
      <c r="I238" s="2">
        <f>IF(AND(OR(E238="met",E238="not_met"),OR(F238="met",F238="not_met")),1,0)</f>
        <v/>
      </c>
      <c r="J238" s="2">
        <f>IF(I238=1,IF(E238=F238,1,0),"")</f>
        <v/>
      </c>
      <c r="K238" s="2" t="n"/>
      <c r="L238" s="2" t="n"/>
      <c r="M238" s="2" t="n"/>
      <c r="N238" s="2">
        <f>IF(OR(K238="",H238=""),"",IF((K238="met")=(H238="met"),1,0))</f>
        <v/>
      </c>
      <c r="O238" s="2">
        <f>IF(OR(L238="",H238=""),"",IF((L238="met")=(H238="met"),1,0))</f>
        <v/>
      </c>
      <c r="P238" s="2">
        <f>IF(OR(M238="",H238=""),"",IF((M238="met")=(H238="met"),1,0))</f>
        <v/>
      </c>
    </row>
    <row r="239">
      <c r="A239" s="2" t="inlineStr">
        <is>
          <t>C06-10</t>
        </is>
      </c>
      <c r="B239" s="2">
        <f>Key!B239</f>
        <v/>
      </c>
      <c r="C239" s="2">
        <f>Key!C239</f>
        <v/>
      </c>
      <c r="D239" s="2">
        <f>IF(Key!D239="","",Key!D239)</f>
        <v/>
      </c>
      <c r="E239" s="2">
        <f>IF(Label_ChatGPT!F122="","",Label_ChatGPT!F122)</f>
        <v/>
      </c>
      <c r="F239" s="2">
        <f>IF(Label_ChatGPT!G122="","",Label_ChatGPT!G122)</f>
        <v/>
      </c>
      <c r="G239" s="5" t="n"/>
      <c r="H239" s="2">
        <f>IF(G239&lt;&gt;"",G239,IF(AND(E239&lt;&gt;"",E239=F239,E239&lt;&gt;"unsure"),E239,""))</f>
        <v/>
      </c>
      <c r="I239" s="2">
        <f>IF(AND(OR(E239="met",E239="not_met"),OR(F239="met",F239="not_met")),1,0)</f>
        <v/>
      </c>
      <c r="J239" s="2">
        <f>IF(I239=1,IF(E239=F239,1,0),"")</f>
        <v/>
      </c>
      <c r="K239" s="2" t="n"/>
      <c r="L239" s="2" t="n"/>
      <c r="M239" s="2" t="n"/>
      <c r="N239" s="2">
        <f>IF(OR(K239="",H239=""),"",IF((K239="met")=(H239="met"),1,0))</f>
        <v/>
      </c>
      <c r="O239" s="2">
        <f>IF(OR(L239="",H239=""),"",IF((L239="met")=(H239="met"),1,0))</f>
        <v/>
      </c>
      <c r="P239" s="2">
        <f>IF(OR(M239="",H239=""),"",IF((M239="met")=(H239="met"),1,0))</f>
        <v/>
      </c>
    </row>
    <row r="240">
      <c r="A240" s="2" t="inlineStr">
        <is>
          <t>C06-11</t>
        </is>
      </c>
      <c r="B240" s="2">
        <f>Key!B240</f>
        <v/>
      </c>
      <c r="C240" s="2">
        <f>Key!C240</f>
        <v/>
      </c>
      <c r="D240" s="2">
        <f>IF(Key!D240="","",Key!D240)</f>
        <v/>
      </c>
      <c r="E240" s="2">
        <f>IF(Label_ChatGPT!F123="","",Label_ChatGPT!F123)</f>
        <v/>
      </c>
      <c r="F240" s="2">
        <f>IF(Label_ChatGPT!G123="","",Label_ChatGPT!G123)</f>
        <v/>
      </c>
      <c r="G240" s="5" t="n"/>
      <c r="H240" s="2">
        <f>IF(G240&lt;&gt;"",G240,IF(AND(E240&lt;&gt;"",E240=F240,E240&lt;&gt;"unsure"),E240,""))</f>
        <v/>
      </c>
      <c r="I240" s="2">
        <f>IF(AND(OR(E240="met",E240="not_met"),OR(F240="met",F240="not_met")),1,0)</f>
        <v/>
      </c>
      <c r="J240" s="2">
        <f>IF(I240=1,IF(E240=F240,1,0),"")</f>
        <v/>
      </c>
      <c r="K240" s="2" t="n"/>
      <c r="L240" s="2" t="n"/>
      <c r="M240" s="2" t="n"/>
      <c r="N240" s="2">
        <f>IF(OR(K240="",H240=""),"",IF((K240="met")=(H240="met"),1,0))</f>
        <v/>
      </c>
      <c r="O240" s="2">
        <f>IF(OR(L240="",H240=""),"",IF((L240="met")=(H240="met"),1,0))</f>
        <v/>
      </c>
      <c r="P240" s="2">
        <f>IF(OR(M240="",H240=""),"",IF((M240="met")=(H240="met"),1,0))</f>
        <v/>
      </c>
    </row>
    <row r="241">
      <c r="A241" s="2" t="inlineStr">
        <is>
          <t>C06-12</t>
        </is>
      </c>
      <c r="B241" s="2">
        <f>Key!B241</f>
        <v/>
      </c>
      <c r="C241" s="2">
        <f>Key!C241</f>
        <v/>
      </c>
      <c r="D241" s="2">
        <f>IF(Key!D241="","",Key!D241)</f>
        <v/>
      </c>
      <c r="E241" s="2">
        <f>IF(Label_ChatGPT!F124="","",Label_ChatGPT!F124)</f>
        <v/>
      </c>
      <c r="F241" s="2">
        <f>IF(Label_ChatGPT!G124="","",Label_ChatGPT!G124)</f>
        <v/>
      </c>
      <c r="G241" s="5" t="n"/>
      <c r="H241" s="2">
        <f>IF(G241&lt;&gt;"",G241,IF(AND(E241&lt;&gt;"",E241=F241,E241&lt;&gt;"unsure"),E241,""))</f>
        <v/>
      </c>
      <c r="I241" s="2">
        <f>IF(AND(OR(E241="met",E241="not_met"),OR(F241="met",F241="not_met")),1,0)</f>
        <v/>
      </c>
      <c r="J241" s="2">
        <f>IF(I241=1,IF(E241=F241,1,0),"")</f>
        <v/>
      </c>
      <c r="K241" s="2" t="n"/>
      <c r="L241" s="2" t="n"/>
      <c r="M241" s="2" t="n"/>
      <c r="N241" s="2">
        <f>IF(OR(K241="",H241=""),"",IF((K241="met")=(H241="met"),1,0))</f>
        <v/>
      </c>
      <c r="O241" s="2">
        <f>IF(OR(L241="",H241=""),"",IF((L241="met")=(H241="met"),1,0))</f>
        <v/>
      </c>
      <c r="P241" s="2">
        <f>IF(OR(M241="",H241=""),"",IF((M241="met")=(H241="met"),1,0))</f>
        <v/>
      </c>
    </row>
    <row r="242">
      <c r="A242" s="2" t="inlineStr">
        <is>
          <t>C06-13</t>
        </is>
      </c>
      <c r="B242" s="2">
        <f>Key!B242</f>
        <v/>
      </c>
      <c r="C242" s="2">
        <f>Key!C242</f>
        <v/>
      </c>
      <c r="D242" s="2">
        <f>IF(Key!D242="","",Key!D242)</f>
        <v/>
      </c>
      <c r="E242" s="2">
        <f>IF(Label_ChatGPT!F125="","",Label_ChatGPT!F125)</f>
        <v/>
      </c>
      <c r="F242" s="2">
        <f>IF(Label_ChatGPT!G125="","",Label_ChatGPT!G125)</f>
        <v/>
      </c>
      <c r="G242" s="5" t="n"/>
      <c r="H242" s="2">
        <f>IF(G242&lt;&gt;"",G242,IF(AND(E242&lt;&gt;"",E242=F242,E242&lt;&gt;"unsure"),E242,""))</f>
        <v/>
      </c>
      <c r="I242" s="2">
        <f>IF(AND(OR(E242="met",E242="not_met"),OR(F242="met",F242="not_met")),1,0)</f>
        <v/>
      </c>
      <c r="J242" s="2">
        <f>IF(I242=1,IF(E242=F242,1,0),"")</f>
        <v/>
      </c>
      <c r="K242" s="2" t="n"/>
      <c r="L242" s="2" t="n"/>
      <c r="M242" s="2" t="n"/>
      <c r="N242" s="2">
        <f>IF(OR(K242="",H242=""),"",IF((K242="met")=(H242="met"),1,0))</f>
        <v/>
      </c>
      <c r="O242" s="2">
        <f>IF(OR(L242="",H242=""),"",IF((L242="met")=(H242="met"),1,0))</f>
        <v/>
      </c>
      <c r="P242" s="2">
        <f>IF(OR(M242="",H242=""),"",IF((M242="met")=(H242="met"),1,0))</f>
        <v/>
      </c>
    </row>
    <row r="243">
      <c r="A243" s="2" t="inlineStr">
        <is>
          <t>C06-14</t>
        </is>
      </c>
      <c r="B243" s="2">
        <f>Key!B243</f>
        <v/>
      </c>
      <c r="C243" s="2">
        <f>Key!C243</f>
        <v/>
      </c>
      <c r="D243" s="2">
        <f>IF(Key!D243="","",Key!D243)</f>
        <v/>
      </c>
      <c r="E243" s="2">
        <f>IF(Label_ChatGPT!F126="","",Label_ChatGPT!F126)</f>
        <v/>
      </c>
      <c r="F243" s="2">
        <f>IF(Label_ChatGPT!G126="","",Label_ChatGPT!G126)</f>
        <v/>
      </c>
      <c r="G243" s="5" t="n"/>
      <c r="H243" s="2">
        <f>IF(G243&lt;&gt;"",G243,IF(AND(E243&lt;&gt;"",E243=F243,E243&lt;&gt;"unsure"),E243,""))</f>
        <v/>
      </c>
      <c r="I243" s="2">
        <f>IF(AND(OR(E243="met",E243="not_met"),OR(F243="met",F243="not_met")),1,0)</f>
        <v/>
      </c>
      <c r="J243" s="2">
        <f>IF(I243=1,IF(E243=F243,1,0),"")</f>
        <v/>
      </c>
      <c r="K243" s="2" t="n"/>
      <c r="L243" s="2" t="n"/>
      <c r="M243" s="2" t="n"/>
      <c r="N243" s="2">
        <f>IF(OR(K243="",H243=""),"",IF((K243="met")=(H243="met"),1,0))</f>
        <v/>
      </c>
      <c r="O243" s="2">
        <f>IF(OR(L243="",H243=""),"",IF((L243="met")=(H243="met"),1,0))</f>
        <v/>
      </c>
      <c r="P243" s="2">
        <f>IF(OR(M243="",H243=""),"",IF((M243="met")=(H243="met"),1,0))</f>
        <v/>
      </c>
    </row>
    <row r="244">
      <c r="A244" s="2" t="inlineStr">
        <is>
          <t>C06-15</t>
        </is>
      </c>
      <c r="B244" s="2">
        <f>Key!B244</f>
        <v/>
      </c>
      <c r="C244" s="2">
        <f>Key!C244</f>
        <v/>
      </c>
      <c r="D244" s="2">
        <f>IF(Key!D244="","",Key!D244)</f>
        <v/>
      </c>
      <c r="E244" s="2">
        <f>IF(Label_ChatGPT!F127="","",Label_ChatGPT!F127)</f>
        <v/>
      </c>
      <c r="F244" s="2">
        <f>IF(Label_ChatGPT!G127="","",Label_ChatGPT!G127)</f>
        <v/>
      </c>
      <c r="G244" s="5" t="n"/>
      <c r="H244" s="2">
        <f>IF(G244&lt;&gt;"",G244,IF(AND(E244&lt;&gt;"",E244=F244,E244&lt;&gt;"unsure"),E244,""))</f>
        <v/>
      </c>
      <c r="I244" s="2">
        <f>IF(AND(OR(E244="met",E244="not_met"),OR(F244="met",F244="not_met")),1,0)</f>
        <v/>
      </c>
      <c r="J244" s="2">
        <f>IF(I244=1,IF(E244=F244,1,0),"")</f>
        <v/>
      </c>
      <c r="K244" s="2" t="n"/>
      <c r="L244" s="2" t="n"/>
      <c r="M244" s="2" t="n"/>
      <c r="N244" s="2">
        <f>IF(OR(K244="",H244=""),"",IF((K244="met")=(H244="met"),1,0))</f>
        <v/>
      </c>
      <c r="O244" s="2">
        <f>IF(OR(L244="",H244=""),"",IF((L244="met")=(H244="met"),1,0))</f>
        <v/>
      </c>
      <c r="P244" s="2">
        <f>IF(OR(M244="",H244=""),"",IF((M244="met")=(H244="met"),1,0))</f>
        <v/>
      </c>
    </row>
    <row r="245">
      <c r="A245" s="2" t="inlineStr">
        <is>
          <t>C06-16</t>
        </is>
      </c>
      <c r="B245" s="2">
        <f>Key!B245</f>
        <v/>
      </c>
      <c r="C245" s="2">
        <f>Key!C245</f>
        <v/>
      </c>
      <c r="D245" s="2">
        <f>IF(Key!D245="","",Key!D245)</f>
        <v/>
      </c>
      <c r="E245" s="2">
        <f>IF(Label_ChatGPT!F128="","",Label_ChatGPT!F128)</f>
        <v/>
      </c>
      <c r="F245" s="2">
        <f>IF(Label_ChatGPT!G128="","",Label_ChatGPT!G128)</f>
        <v/>
      </c>
      <c r="G245" s="5" t="n"/>
      <c r="H245" s="2">
        <f>IF(G245&lt;&gt;"",G245,IF(AND(E245&lt;&gt;"",E245=F245,E245&lt;&gt;"unsure"),E245,""))</f>
        <v/>
      </c>
      <c r="I245" s="2">
        <f>IF(AND(OR(E245="met",E245="not_met"),OR(F245="met",F245="not_met")),1,0)</f>
        <v/>
      </c>
      <c r="J245" s="2">
        <f>IF(I245=1,IF(E245=F245,1,0),"")</f>
        <v/>
      </c>
      <c r="K245" s="2" t="n"/>
      <c r="L245" s="2" t="n"/>
      <c r="M245" s="2" t="n"/>
      <c r="N245" s="2">
        <f>IF(OR(K245="",H245=""),"",IF((K245="met")=(H245="met"),1,0))</f>
        <v/>
      </c>
      <c r="O245" s="2">
        <f>IF(OR(L245="",H245=""),"",IF((L245="met")=(H245="met"),1,0))</f>
        <v/>
      </c>
      <c r="P245" s="2">
        <f>IF(OR(M245="",H245=""),"",IF((M245="met")=(H245="met"),1,0))</f>
        <v/>
      </c>
    </row>
    <row r="246">
      <c r="A246" s="2" t="inlineStr">
        <is>
          <t>C06-17</t>
        </is>
      </c>
      <c r="B246" s="2">
        <f>Key!B246</f>
        <v/>
      </c>
      <c r="C246" s="2">
        <f>Key!C246</f>
        <v/>
      </c>
      <c r="D246" s="2">
        <f>IF(Key!D246="","",Key!D246)</f>
        <v/>
      </c>
      <c r="E246" s="2">
        <f>IF(Label_ChatGPT!F129="","",Label_ChatGPT!F129)</f>
        <v/>
      </c>
      <c r="F246" s="2">
        <f>IF(Label_ChatGPT!G129="","",Label_ChatGPT!G129)</f>
        <v/>
      </c>
      <c r="G246" s="5" t="n"/>
      <c r="H246" s="2">
        <f>IF(G246&lt;&gt;"",G246,IF(AND(E246&lt;&gt;"",E246=F246,E246&lt;&gt;"unsure"),E246,""))</f>
        <v/>
      </c>
      <c r="I246" s="2">
        <f>IF(AND(OR(E246="met",E246="not_met"),OR(F246="met",F246="not_met")),1,0)</f>
        <v/>
      </c>
      <c r="J246" s="2">
        <f>IF(I246=1,IF(E246=F246,1,0),"")</f>
        <v/>
      </c>
      <c r="K246" s="2" t="n"/>
      <c r="L246" s="2" t="n"/>
      <c r="M246" s="2" t="n"/>
      <c r="N246" s="2">
        <f>IF(OR(K246="",H246=""),"",IF((K246="met")=(H246="met"),1,0))</f>
        <v/>
      </c>
      <c r="O246" s="2">
        <f>IF(OR(L246="",H246=""),"",IF((L246="met")=(H246="met"),1,0))</f>
        <v/>
      </c>
      <c r="P246" s="2">
        <f>IF(OR(M246="",H246=""),"",IF((M246="met")=(H246="met"),1,0))</f>
        <v/>
      </c>
    </row>
    <row r="247">
      <c r="A247" s="2" t="inlineStr">
        <is>
          <t>C06-18</t>
        </is>
      </c>
      <c r="B247" s="2">
        <f>Key!B247</f>
        <v/>
      </c>
      <c r="C247" s="2">
        <f>Key!C247</f>
        <v/>
      </c>
      <c r="D247" s="2">
        <f>IF(Key!D247="","",Key!D247)</f>
        <v/>
      </c>
      <c r="E247" s="2">
        <f>IF(Label_ChatGPT!F130="","",Label_ChatGPT!F130)</f>
        <v/>
      </c>
      <c r="F247" s="2">
        <f>IF(Label_ChatGPT!G130="","",Label_ChatGPT!G130)</f>
        <v/>
      </c>
      <c r="G247" s="5" t="n"/>
      <c r="H247" s="2">
        <f>IF(G247&lt;&gt;"",G247,IF(AND(E247&lt;&gt;"",E247=F247,E247&lt;&gt;"unsure"),E247,""))</f>
        <v/>
      </c>
      <c r="I247" s="2">
        <f>IF(AND(OR(E247="met",E247="not_met"),OR(F247="met",F247="not_met")),1,0)</f>
        <v/>
      </c>
      <c r="J247" s="2">
        <f>IF(I247=1,IF(E247=F247,1,0),"")</f>
        <v/>
      </c>
      <c r="K247" s="2" t="n"/>
      <c r="L247" s="2" t="n"/>
      <c r="M247" s="2" t="n"/>
      <c r="N247" s="2">
        <f>IF(OR(K247="",H247=""),"",IF((K247="met")=(H247="met"),1,0))</f>
        <v/>
      </c>
      <c r="O247" s="2">
        <f>IF(OR(L247="",H247=""),"",IF((L247="met")=(H247="met"),1,0))</f>
        <v/>
      </c>
      <c r="P247" s="2">
        <f>IF(OR(M247="",H247=""),"",IF((M247="met")=(H247="met"),1,0))</f>
        <v/>
      </c>
    </row>
    <row r="248">
      <c r="A248" s="2" t="inlineStr">
        <is>
          <t>C06-19</t>
        </is>
      </c>
      <c r="B248" s="2">
        <f>Key!B248</f>
        <v/>
      </c>
      <c r="C248" s="2">
        <f>Key!C248</f>
        <v/>
      </c>
      <c r="D248" s="2">
        <f>IF(Key!D248="","",Key!D248)</f>
        <v/>
      </c>
      <c r="E248" s="2">
        <f>IF(Label_ChatGPT!F131="","",Label_ChatGPT!F131)</f>
        <v/>
      </c>
      <c r="F248" s="2">
        <f>IF(Label_ChatGPT!G131="","",Label_ChatGPT!G131)</f>
        <v/>
      </c>
      <c r="G248" s="5" t="n"/>
      <c r="H248" s="2">
        <f>IF(G248&lt;&gt;"",G248,IF(AND(E248&lt;&gt;"",E248=F248,E248&lt;&gt;"unsure"),E248,""))</f>
        <v/>
      </c>
      <c r="I248" s="2">
        <f>IF(AND(OR(E248="met",E248="not_met"),OR(F248="met",F248="not_met")),1,0)</f>
        <v/>
      </c>
      <c r="J248" s="2">
        <f>IF(I248=1,IF(E248=F248,1,0),"")</f>
        <v/>
      </c>
      <c r="K248" s="2" t="n"/>
      <c r="L248" s="2" t="n"/>
      <c r="M248" s="2" t="n"/>
      <c r="N248" s="2">
        <f>IF(OR(K248="",H248=""),"",IF((K248="met")=(H248="met"),1,0))</f>
        <v/>
      </c>
      <c r="O248" s="2">
        <f>IF(OR(L248="",H248=""),"",IF((L248="met")=(H248="met"),1,0))</f>
        <v/>
      </c>
      <c r="P248" s="2">
        <f>IF(OR(M248="",H248=""),"",IF((M248="met")=(H248="met"),1,0))</f>
        <v/>
      </c>
    </row>
    <row r="249">
      <c r="A249" s="2" t="inlineStr">
        <is>
          <t>C06-20</t>
        </is>
      </c>
      <c r="B249" s="2">
        <f>Key!B249</f>
        <v/>
      </c>
      <c r="C249" s="2">
        <f>Key!C249</f>
        <v/>
      </c>
      <c r="D249" s="2">
        <f>IF(Key!D249="","",Key!D249)</f>
        <v/>
      </c>
      <c r="E249" s="2">
        <f>IF(Label_ChatGPT!F132="","",Label_ChatGPT!F132)</f>
        <v/>
      </c>
      <c r="F249" s="2">
        <f>IF(Label_ChatGPT!G132="","",Label_ChatGPT!G132)</f>
        <v/>
      </c>
      <c r="G249" s="5" t="n"/>
      <c r="H249" s="2">
        <f>IF(G249&lt;&gt;"",G249,IF(AND(E249&lt;&gt;"",E249=F249,E249&lt;&gt;"unsure"),E249,""))</f>
        <v/>
      </c>
      <c r="I249" s="2">
        <f>IF(AND(OR(E249="met",E249="not_met"),OR(F249="met",F249="not_met")),1,0)</f>
        <v/>
      </c>
      <c r="J249" s="2">
        <f>IF(I249=1,IF(E249=F249,1,0),"")</f>
        <v/>
      </c>
      <c r="K249" s="2" t="n"/>
      <c r="L249" s="2" t="n"/>
      <c r="M249" s="2" t="n"/>
      <c r="N249" s="2">
        <f>IF(OR(K249="",H249=""),"",IF((K249="met")=(H249="met"),1,0))</f>
        <v/>
      </c>
      <c r="O249" s="2">
        <f>IF(OR(L249="",H249=""),"",IF((L249="met")=(H249="met"),1,0))</f>
        <v/>
      </c>
      <c r="P249" s="2">
        <f>IF(OR(M249="",H249=""),"",IF((M249="met")=(H249="met"),1,0))</f>
        <v/>
      </c>
    </row>
    <row r="250">
      <c r="A250" s="2" t="inlineStr">
        <is>
          <t>C06-21</t>
        </is>
      </c>
      <c r="B250" s="2">
        <f>Key!B250</f>
        <v/>
      </c>
      <c r="C250" s="2">
        <f>Key!C250</f>
        <v/>
      </c>
      <c r="D250" s="2">
        <f>IF(Key!D250="","",Key!D250)</f>
        <v/>
      </c>
      <c r="E250" s="2">
        <f>IF(Label_ChatGPT!F133="","",Label_ChatGPT!F133)</f>
        <v/>
      </c>
      <c r="F250" s="2">
        <f>IF(Label_ChatGPT!G133="","",Label_ChatGPT!G133)</f>
        <v/>
      </c>
      <c r="G250" s="5" t="n"/>
      <c r="H250" s="2">
        <f>IF(G250&lt;&gt;"",G250,IF(AND(E250&lt;&gt;"",E250=F250,E250&lt;&gt;"unsure"),E250,""))</f>
        <v/>
      </c>
      <c r="I250" s="2">
        <f>IF(AND(OR(E250="met",E250="not_met"),OR(F250="met",F250="not_met")),1,0)</f>
        <v/>
      </c>
      <c r="J250" s="2">
        <f>IF(I250=1,IF(E250=F250,1,0),"")</f>
        <v/>
      </c>
      <c r="K250" s="2" t="n"/>
      <c r="L250" s="2" t="n"/>
      <c r="M250" s="2" t="n"/>
      <c r="N250" s="2">
        <f>IF(OR(K250="",H250=""),"",IF((K250="met")=(H250="met"),1,0))</f>
        <v/>
      </c>
      <c r="O250" s="2">
        <f>IF(OR(L250="",H250=""),"",IF((L250="met")=(H250="met"),1,0))</f>
        <v/>
      </c>
      <c r="P250" s="2">
        <f>IF(OR(M250="",H250=""),"",IF((M250="met")=(H250="met"),1,0))</f>
        <v/>
      </c>
    </row>
    <row r="251">
      <c r="A251" s="2" t="inlineStr">
        <is>
          <t>C06-22</t>
        </is>
      </c>
      <c r="B251" s="2">
        <f>Key!B251</f>
        <v/>
      </c>
      <c r="C251" s="2">
        <f>Key!C251</f>
        <v/>
      </c>
      <c r="D251" s="2">
        <f>IF(Key!D251="","",Key!D251)</f>
        <v/>
      </c>
      <c r="E251" s="2">
        <f>IF(Label_ChatGPT!F134="","",Label_ChatGPT!F134)</f>
        <v/>
      </c>
      <c r="F251" s="2">
        <f>IF(Label_ChatGPT!G134="","",Label_ChatGPT!G134)</f>
        <v/>
      </c>
      <c r="G251" s="5" t="n"/>
      <c r="H251" s="2">
        <f>IF(G251&lt;&gt;"",G251,IF(AND(E251&lt;&gt;"",E251=F251,E251&lt;&gt;"unsure"),E251,""))</f>
        <v/>
      </c>
      <c r="I251" s="2">
        <f>IF(AND(OR(E251="met",E251="not_met"),OR(F251="met",F251="not_met")),1,0)</f>
        <v/>
      </c>
      <c r="J251" s="2">
        <f>IF(I251=1,IF(E251=F251,1,0),"")</f>
        <v/>
      </c>
      <c r="K251" s="2" t="n"/>
      <c r="L251" s="2" t="n"/>
      <c r="M251" s="2" t="n"/>
      <c r="N251" s="2">
        <f>IF(OR(K251="",H251=""),"",IF((K251="met")=(H251="met"),1,0))</f>
        <v/>
      </c>
      <c r="O251" s="2">
        <f>IF(OR(L251="",H251=""),"",IF((L251="met")=(H251="met"),1,0))</f>
        <v/>
      </c>
      <c r="P251" s="2">
        <f>IF(OR(M251="",H251=""),"",IF((M251="met")=(H251="met"),1,0))</f>
        <v/>
      </c>
    </row>
    <row r="252">
      <c r="A252" s="2" t="inlineStr">
        <is>
          <t>C06-23</t>
        </is>
      </c>
      <c r="B252" s="2">
        <f>Key!B252</f>
        <v/>
      </c>
      <c r="C252" s="2">
        <f>Key!C252</f>
        <v/>
      </c>
      <c r="D252" s="2">
        <f>IF(Key!D252="","",Key!D252)</f>
        <v/>
      </c>
      <c r="E252" s="2">
        <f>IF(Label_ChatGPT!F135="","",Label_ChatGPT!F135)</f>
        <v/>
      </c>
      <c r="F252" s="2">
        <f>IF(Label_ChatGPT!G135="","",Label_ChatGPT!G135)</f>
        <v/>
      </c>
      <c r="G252" s="5" t="n"/>
      <c r="H252" s="2">
        <f>IF(G252&lt;&gt;"",G252,IF(AND(E252&lt;&gt;"",E252=F252,E252&lt;&gt;"unsure"),E252,""))</f>
        <v/>
      </c>
      <c r="I252" s="2">
        <f>IF(AND(OR(E252="met",E252="not_met"),OR(F252="met",F252="not_met")),1,0)</f>
        <v/>
      </c>
      <c r="J252" s="2">
        <f>IF(I252=1,IF(E252=F252,1,0),"")</f>
        <v/>
      </c>
      <c r="K252" s="2" t="n"/>
      <c r="L252" s="2" t="n"/>
      <c r="M252" s="2" t="n"/>
      <c r="N252" s="2">
        <f>IF(OR(K252="",H252=""),"",IF((K252="met")=(H252="met"),1,0))</f>
        <v/>
      </c>
      <c r="O252" s="2">
        <f>IF(OR(L252="",H252=""),"",IF((L252="met")=(H252="met"),1,0))</f>
        <v/>
      </c>
      <c r="P252" s="2">
        <f>IF(OR(M252="",H252=""),"",IF((M252="met")=(H252="met"),1,0))</f>
        <v/>
      </c>
    </row>
    <row r="253">
      <c r="A253" s="2" t="inlineStr">
        <is>
          <t>C06-24</t>
        </is>
      </c>
      <c r="B253" s="2">
        <f>Key!B253</f>
        <v/>
      </c>
      <c r="C253" s="2">
        <f>Key!C253</f>
        <v/>
      </c>
      <c r="D253" s="2">
        <f>IF(Key!D253="","",Key!D253)</f>
        <v/>
      </c>
      <c r="E253" s="2">
        <f>IF(Label_ChatGPT!F136="","",Label_ChatGPT!F136)</f>
        <v/>
      </c>
      <c r="F253" s="2">
        <f>IF(Label_ChatGPT!G136="","",Label_ChatGPT!G136)</f>
        <v/>
      </c>
      <c r="G253" s="5" t="n"/>
      <c r="H253" s="2">
        <f>IF(G253&lt;&gt;"",G253,IF(AND(E253&lt;&gt;"",E253=F253,E253&lt;&gt;"unsure"),E253,""))</f>
        <v/>
      </c>
      <c r="I253" s="2">
        <f>IF(AND(OR(E253="met",E253="not_met"),OR(F253="met",F253="not_met")),1,0)</f>
        <v/>
      </c>
      <c r="J253" s="2">
        <f>IF(I253=1,IF(E253=F253,1,0),"")</f>
        <v/>
      </c>
      <c r="K253" s="2" t="n"/>
      <c r="L253" s="2" t="n"/>
      <c r="M253" s="2" t="n"/>
      <c r="N253" s="2">
        <f>IF(OR(K253="",H253=""),"",IF((K253="met")=(H253="met"),1,0))</f>
        <v/>
      </c>
      <c r="O253" s="2">
        <f>IF(OR(L253="",H253=""),"",IF((L253="met")=(H253="met"),1,0))</f>
        <v/>
      </c>
      <c r="P253" s="2">
        <f>IF(OR(M253="",H253=""),"",IF((M253="met")=(H253="met"),1,0))</f>
        <v/>
      </c>
    </row>
    <row r="254">
      <c r="A254" s="2" t="inlineStr">
        <is>
          <t>C06-25</t>
        </is>
      </c>
      <c r="B254" s="2">
        <f>Key!B254</f>
        <v/>
      </c>
      <c r="C254" s="2">
        <f>Key!C254</f>
        <v/>
      </c>
      <c r="D254" s="2">
        <f>IF(Key!D254="","",Key!D254)</f>
        <v/>
      </c>
      <c r="E254" s="2">
        <f>IF(Label_ChatGPT!F137="","",Label_ChatGPT!F137)</f>
        <v/>
      </c>
      <c r="F254" s="2">
        <f>IF(Label_ChatGPT!G137="","",Label_ChatGPT!G137)</f>
        <v/>
      </c>
      <c r="G254" s="5" t="n"/>
      <c r="H254" s="2">
        <f>IF(G254&lt;&gt;"",G254,IF(AND(E254&lt;&gt;"",E254=F254,E254&lt;&gt;"unsure"),E254,""))</f>
        <v/>
      </c>
      <c r="I254" s="2">
        <f>IF(AND(OR(E254="met",E254="not_met"),OR(F254="met",F254="not_met")),1,0)</f>
        <v/>
      </c>
      <c r="J254" s="2">
        <f>IF(I254=1,IF(E254=F254,1,0),"")</f>
        <v/>
      </c>
      <c r="K254" s="2" t="n"/>
      <c r="L254" s="2" t="n"/>
      <c r="M254" s="2" t="n"/>
      <c r="N254" s="2">
        <f>IF(OR(K254="",H254=""),"",IF((K254="met")=(H254="met"),1,0))</f>
        <v/>
      </c>
      <c r="O254" s="2">
        <f>IF(OR(L254="",H254=""),"",IF((L254="met")=(H254="met"),1,0))</f>
        <v/>
      </c>
      <c r="P254" s="2">
        <f>IF(OR(M254="",H254=""),"",IF((M254="met")=(H254="met"),1,0))</f>
        <v/>
      </c>
    </row>
    <row r="255">
      <c r="A255" s="2" t="inlineStr">
        <is>
          <t>C06-26</t>
        </is>
      </c>
      <c r="B255" s="2">
        <f>Key!B255</f>
        <v/>
      </c>
      <c r="C255" s="2">
        <f>Key!C255</f>
        <v/>
      </c>
      <c r="D255" s="2">
        <f>IF(Key!D255="","",Key!D255)</f>
        <v/>
      </c>
      <c r="E255" s="2">
        <f>IF(Label_ChatGPT!F138="","",Label_ChatGPT!F138)</f>
        <v/>
      </c>
      <c r="F255" s="2">
        <f>IF(Label_ChatGPT!G138="","",Label_ChatGPT!G138)</f>
        <v/>
      </c>
      <c r="G255" s="5" t="n"/>
      <c r="H255" s="2">
        <f>IF(G255&lt;&gt;"",G255,IF(AND(E255&lt;&gt;"",E255=F255,E255&lt;&gt;"unsure"),E255,""))</f>
        <v/>
      </c>
      <c r="I255" s="2">
        <f>IF(AND(OR(E255="met",E255="not_met"),OR(F255="met",F255="not_met")),1,0)</f>
        <v/>
      </c>
      <c r="J255" s="2">
        <f>IF(I255=1,IF(E255=F255,1,0),"")</f>
        <v/>
      </c>
      <c r="K255" s="2" t="n"/>
      <c r="L255" s="2" t="n"/>
      <c r="M255" s="2" t="n"/>
      <c r="N255" s="2">
        <f>IF(OR(K255="",H255=""),"",IF((K255="met")=(H255="met"),1,0))</f>
        <v/>
      </c>
      <c r="O255" s="2">
        <f>IF(OR(L255="",H255=""),"",IF((L255="met")=(H255="met"),1,0))</f>
        <v/>
      </c>
      <c r="P255" s="2">
        <f>IF(OR(M255="",H255=""),"",IF((M255="met")=(H255="met"),1,0))</f>
        <v/>
      </c>
    </row>
    <row r="256">
      <c r="A256" s="2" t="inlineStr">
        <is>
          <t>C06-27</t>
        </is>
      </c>
      <c r="B256" s="2">
        <f>Key!B256</f>
        <v/>
      </c>
      <c r="C256" s="2">
        <f>Key!C256</f>
        <v/>
      </c>
      <c r="D256" s="2">
        <f>IF(Key!D256="","",Key!D256)</f>
        <v/>
      </c>
      <c r="E256" s="2">
        <f>IF(Label_ChatGPT!F139="","",Label_ChatGPT!F139)</f>
        <v/>
      </c>
      <c r="F256" s="2">
        <f>IF(Label_ChatGPT!G139="","",Label_ChatGPT!G139)</f>
        <v/>
      </c>
      <c r="G256" s="5" t="n"/>
      <c r="H256" s="2">
        <f>IF(G256&lt;&gt;"",G256,IF(AND(E256&lt;&gt;"",E256=F256,E256&lt;&gt;"unsure"),E256,""))</f>
        <v/>
      </c>
      <c r="I256" s="2">
        <f>IF(AND(OR(E256="met",E256="not_met"),OR(F256="met",F256="not_met")),1,0)</f>
        <v/>
      </c>
      <c r="J256" s="2">
        <f>IF(I256=1,IF(E256=F256,1,0),"")</f>
        <v/>
      </c>
      <c r="K256" s="2" t="n"/>
      <c r="L256" s="2" t="n"/>
      <c r="M256" s="2" t="n"/>
      <c r="N256" s="2">
        <f>IF(OR(K256="",H256=""),"",IF((K256="met")=(H256="met"),1,0))</f>
        <v/>
      </c>
      <c r="O256" s="2">
        <f>IF(OR(L256="",H256=""),"",IF((L256="met")=(H256="met"),1,0))</f>
        <v/>
      </c>
      <c r="P256" s="2">
        <f>IF(OR(M256="",H256=""),"",IF((M256="met")=(H256="met"),1,0))</f>
        <v/>
      </c>
    </row>
    <row r="257">
      <c r="A257" s="2" t="inlineStr">
        <is>
          <t>C06-28</t>
        </is>
      </c>
      <c r="B257" s="2">
        <f>Key!B257</f>
        <v/>
      </c>
      <c r="C257" s="2">
        <f>Key!C257</f>
        <v/>
      </c>
      <c r="D257" s="2">
        <f>IF(Key!D257="","",Key!D257)</f>
        <v/>
      </c>
      <c r="E257" s="2">
        <f>IF(Label_ChatGPT!F140="","",Label_ChatGPT!F140)</f>
        <v/>
      </c>
      <c r="F257" s="2">
        <f>IF(Label_ChatGPT!G140="","",Label_ChatGPT!G140)</f>
        <v/>
      </c>
      <c r="G257" s="5" t="n"/>
      <c r="H257" s="2">
        <f>IF(G257&lt;&gt;"",G257,IF(AND(E257&lt;&gt;"",E257=F257,E257&lt;&gt;"unsure"),E257,""))</f>
        <v/>
      </c>
      <c r="I257" s="2">
        <f>IF(AND(OR(E257="met",E257="not_met"),OR(F257="met",F257="not_met")),1,0)</f>
        <v/>
      </c>
      <c r="J257" s="2">
        <f>IF(I257=1,IF(E257=F257,1,0),"")</f>
        <v/>
      </c>
      <c r="K257" s="2" t="n"/>
      <c r="L257" s="2" t="n"/>
      <c r="M257" s="2" t="n"/>
      <c r="N257" s="2">
        <f>IF(OR(K257="",H257=""),"",IF((K257="met")=(H257="met"),1,0))</f>
        <v/>
      </c>
      <c r="O257" s="2">
        <f>IF(OR(L257="",H257=""),"",IF((L257="met")=(H257="met"),1,0))</f>
        <v/>
      </c>
      <c r="P257" s="2">
        <f>IF(OR(M257="",H257=""),"",IF((M257="met")=(H257="met"),1,0))</f>
        <v/>
      </c>
    </row>
    <row r="258">
      <c r="A258" s="2" t="inlineStr">
        <is>
          <t>C06-29</t>
        </is>
      </c>
      <c r="B258" s="2">
        <f>Key!B258</f>
        <v/>
      </c>
      <c r="C258" s="2">
        <f>Key!C258</f>
        <v/>
      </c>
      <c r="D258" s="2">
        <f>IF(Key!D258="","",Key!D258)</f>
        <v/>
      </c>
      <c r="E258" s="2">
        <f>IF(Label_ChatGPT!F141="","",Label_ChatGPT!F141)</f>
        <v/>
      </c>
      <c r="F258" s="2">
        <f>IF(Label_ChatGPT!G141="","",Label_ChatGPT!G141)</f>
        <v/>
      </c>
      <c r="G258" s="5" t="n"/>
      <c r="H258" s="2">
        <f>IF(G258&lt;&gt;"",G258,IF(AND(E258&lt;&gt;"",E258=F258,E258&lt;&gt;"unsure"),E258,""))</f>
        <v/>
      </c>
      <c r="I258" s="2">
        <f>IF(AND(OR(E258="met",E258="not_met"),OR(F258="met",F258="not_met")),1,0)</f>
        <v/>
      </c>
      <c r="J258" s="2">
        <f>IF(I258=1,IF(E258=F258,1,0),"")</f>
        <v/>
      </c>
      <c r="K258" s="2" t="n"/>
      <c r="L258" s="2" t="n"/>
      <c r="M258" s="2" t="n"/>
      <c r="N258" s="2">
        <f>IF(OR(K258="",H258=""),"",IF((K258="met")=(H258="met"),1,0))</f>
        <v/>
      </c>
      <c r="O258" s="2">
        <f>IF(OR(L258="",H258=""),"",IF((L258="met")=(H258="met"),1,0))</f>
        <v/>
      </c>
      <c r="P258" s="2">
        <f>IF(OR(M258="",H258=""),"",IF((M258="met")=(H258="met"),1,0))</f>
        <v/>
      </c>
    </row>
    <row r="259">
      <c r="A259" s="2" t="inlineStr">
        <is>
          <t>C06-30</t>
        </is>
      </c>
      <c r="B259" s="2">
        <f>Key!B259</f>
        <v/>
      </c>
      <c r="C259" s="2">
        <f>Key!C259</f>
        <v/>
      </c>
      <c r="D259" s="2">
        <f>IF(Key!D259="","",Key!D259)</f>
        <v/>
      </c>
      <c r="E259" s="2">
        <f>IF(Label_ChatGPT!F142="","",Label_ChatGPT!F142)</f>
        <v/>
      </c>
      <c r="F259" s="2">
        <f>IF(Label_ChatGPT!G142="","",Label_ChatGPT!G142)</f>
        <v/>
      </c>
      <c r="G259" s="5" t="n"/>
      <c r="H259" s="2">
        <f>IF(G259&lt;&gt;"",G259,IF(AND(E259&lt;&gt;"",E259=F259,E259&lt;&gt;"unsure"),E259,""))</f>
        <v/>
      </c>
      <c r="I259" s="2">
        <f>IF(AND(OR(E259="met",E259="not_met"),OR(F259="met",F259="not_met")),1,0)</f>
        <v/>
      </c>
      <c r="J259" s="2">
        <f>IF(I259=1,IF(E259=F259,1,0),"")</f>
        <v/>
      </c>
      <c r="K259" s="2" t="n"/>
      <c r="L259" s="2" t="n"/>
      <c r="M259" s="2" t="n"/>
      <c r="N259" s="2">
        <f>IF(OR(K259="",H259=""),"",IF((K259="met")=(H259="met"),1,0))</f>
        <v/>
      </c>
      <c r="O259" s="2">
        <f>IF(OR(L259="",H259=""),"",IF((L259="met")=(H259="met"),1,0))</f>
        <v/>
      </c>
      <c r="P259" s="2">
        <f>IF(OR(M259="",H259=""),"",IF((M259="met")=(H259="met"),1,0))</f>
        <v/>
      </c>
    </row>
    <row r="260">
      <c r="A260" s="2" t="inlineStr">
        <is>
          <t>C06-31</t>
        </is>
      </c>
      <c r="B260" s="2">
        <f>Key!B260</f>
        <v/>
      </c>
      <c r="C260" s="2">
        <f>Key!C260</f>
        <v/>
      </c>
      <c r="D260" s="2">
        <f>IF(Key!D260="","",Key!D260)</f>
        <v/>
      </c>
      <c r="E260" s="2">
        <f>IF(Label_ChatGPT!F143="","",Label_ChatGPT!F143)</f>
        <v/>
      </c>
      <c r="F260" s="2">
        <f>IF(Label_ChatGPT!G143="","",Label_ChatGPT!G143)</f>
        <v/>
      </c>
      <c r="G260" s="5" t="n"/>
      <c r="H260" s="2">
        <f>IF(G260&lt;&gt;"",G260,IF(AND(E260&lt;&gt;"",E260=F260,E260&lt;&gt;"unsure"),E260,""))</f>
        <v/>
      </c>
      <c r="I260" s="2">
        <f>IF(AND(OR(E260="met",E260="not_met"),OR(F260="met",F260="not_met")),1,0)</f>
        <v/>
      </c>
      <c r="J260" s="2">
        <f>IF(I260=1,IF(E260=F260,1,0),"")</f>
        <v/>
      </c>
      <c r="K260" s="2" t="n"/>
      <c r="L260" s="2" t="n"/>
      <c r="M260" s="2" t="n"/>
      <c r="N260" s="2">
        <f>IF(OR(K260="",H260=""),"",IF((K260="met")=(H260="met"),1,0))</f>
        <v/>
      </c>
      <c r="O260" s="2">
        <f>IF(OR(L260="",H260=""),"",IF((L260="met")=(H260="met"),1,0))</f>
        <v/>
      </c>
      <c r="P260" s="2">
        <f>IF(OR(M260="",H260=""),"",IF((M260="met")=(H260="met"),1,0))</f>
        <v/>
      </c>
    </row>
    <row r="261">
      <c r="A261" s="2" t="inlineStr">
        <is>
          <t>C06-32</t>
        </is>
      </c>
      <c r="B261" s="2">
        <f>Key!B261</f>
        <v/>
      </c>
      <c r="C261" s="2">
        <f>Key!C261</f>
        <v/>
      </c>
      <c r="D261" s="2">
        <f>IF(Key!D261="","",Key!D261)</f>
        <v/>
      </c>
      <c r="E261" s="2">
        <f>IF(Label_ChatGPT!F144="","",Label_ChatGPT!F144)</f>
        <v/>
      </c>
      <c r="F261" s="2">
        <f>IF(Label_ChatGPT!G144="","",Label_ChatGPT!G144)</f>
        <v/>
      </c>
      <c r="G261" s="5" t="n"/>
      <c r="H261" s="2">
        <f>IF(G261&lt;&gt;"",G261,IF(AND(E261&lt;&gt;"",E261=F261,E261&lt;&gt;"unsure"),E261,""))</f>
        <v/>
      </c>
      <c r="I261" s="2">
        <f>IF(AND(OR(E261="met",E261="not_met"),OR(F261="met",F261="not_met")),1,0)</f>
        <v/>
      </c>
      <c r="J261" s="2">
        <f>IF(I261=1,IF(E261=F261,1,0),"")</f>
        <v/>
      </c>
      <c r="K261" s="2" t="n"/>
      <c r="L261" s="2" t="n"/>
      <c r="M261" s="2" t="n"/>
      <c r="N261" s="2">
        <f>IF(OR(K261="",H261=""),"",IF((K261="met")=(H261="met"),1,0))</f>
        <v/>
      </c>
      <c r="O261" s="2">
        <f>IF(OR(L261="",H261=""),"",IF((L261="met")=(H261="met"),1,0))</f>
        <v/>
      </c>
      <c r="P261" s="2">
        <f>IF(OR(M261="",H261=""),"",IF((M261="met")=(H261="met"),1,0))</f>
        <v/>
      </c>
    </row>
    <row r="262">
      <c r="A262" s="2" t="inlineStr">
        <is>
          <t>C07-01</t>
        </is>
      </c>
      <c r="B262" s="2">
        <f>Key!B262</f>
        <v/>
      </c>
      <c r="C262" s="2">
        <f>Key!C262</f>
        <v/>
      </c>
      <c r="D262" s="2">
        <f>IF(Key!D262="","",Key!D262)</f>
        <v/>
      </c>
      <c r="E262" s="2">
        <f>IF(Label_ChatGPT!F145="","",Label_ChatGPT!F145)</f>
        <v/>
      </c>
      <c r="F262" s="2">
        <f>IF(Label_ChatGPT!G145="","",Label_ChatGPT!G145)</f>
        <v/>
      </c>
      <c r="G262" s="5" t="n"/>
      <c r="H262" s="2">
        <f>IF(G262&lt;&gt;"",G262,IF(AND(E262&lt;&gt;"",E262=F262,E262&lt;&gt;"unsure"),E262,""))</f>
        <v/>
      </c>
      <c r="I262" s="2">
        <f>IF(AND(OR(E262="met",E262="not_met"),OR(F262="met",F262="not_met")),1,0)</f>
        <v/>
      </c>
      <c r="J262" s="2">
        <f>IF(I262=1,IF(E262=F262,1,0),"")</f>
        <v/>
      </c>
      <c r="K262" s="2" t="n"/>
      <c r="L262" s="2" t="n"/>
      <c r="M262" s="2" t="n"/>
      <c r="N262" s="2">
        <f>IF(OR(K262="",H262=""),"",IF((K262="met")=(H262="met"),1,0))</f>
        <v/>
      </c>
      <c r="O262" s="2">
        <f>IF(OR(L262="",H262=""),"",IF((L262="met")=(H262="met"),1,0))</f>
        <v/>
      </c>
      <c r="P262" s="2">
        <f>IF(OR(M262="",H262=""),"",IF((M262="met")=(H262="met"),1,0))</f>
        <v/>
      </c>
    </row>
    <row r="263">
      <c r="A263" s="2" t="inlineStr">
        <is>
          <t>C07-02</t>
        </is>
      </c>
      <c r="B263" s="2">
        <f>Key!B263</f>
        <v/>
      </c>
      <c r="C263" s="2">
        <f>Key!C263</f>
        <v/>
      </c>
      <c r="D263" s="2">
        <f>IF(Key!D263="","",Key!D263)</f>
        <v/>
      </c>
      <c r="E263" s="2">
        <f>IF(Label_ChatGPT!F146="","",Label_ChatGPT!F146)</f>
        <v/>
      </c>
      <c r="F263" s="2">
        <f>IF(Label_ChatGPT!G146="","",Label_ChatGPT!G146)</f>
        <v/>
      </c>
      <c r="G263" s="5" t="n"/>
      <c r="H263" s="2">
        <f>IF(G263&lt;&gt;"",G263,IF(AND(E263&lt;&gt;"",E263=F263,E263&lt;&gt;"unsure"),E263,""))</f>
        <v/>
      </c>
      <c r="I263" s="2">
        <f>IF(AND(OR(E263="met",E263="not_met"),OR(F263="met",F263="not_met")),1,0)</f>
        <v/>
      </c>
      <c r="J263" s="2">
        <f>IF(I263=1,IF(E263=F263,1,0),"")</f>
        <v/>
      </c>
      <c r="K263" s="2" t="n"/>
      <c r="L263" s="2" t="n"/>
      <c r="M263" s="2" t="n"/>
      <c r="N263" s="2">
        <f>IF(OR(K263="",H263=""),"",IF((K263="met")=(H263="met"),1,0))</f>
        <v/>
      </c>
      <c r="O263" s="2">
        <f>IF(OR(L263="",H263=""),"",IF((L263="met")=(H263="met"),1,0))</f>
        <v/>
      </c>
      <c r="P263" s="2">
        <f>IF(OR(M263="",H263=""),"",IF((M263="met")=(H263="met"),1,0))</f>
        <v/>
      </c>
    </row>
    <row r="264">
      <c r="A264" s="2" t="inlineStr">
        <is>
          <t>C07-03</t>
        </is>
      </c>
      <c r="B264" s="2">
        <f>Key!B264</f>
        <v/>
      </c>
      <c r="C264" s="2">
        <f>Key!C264</f>
        <v/>
      </c>
      <c r="D264" s="2">
        <f>IF(Key!D264="","",Key!D264)</f>
        <v/>
      </c>
      <c r="E264" s="2">
        <f>IF(Label_ChatGPT!F147="","",Label_ChatGPT!F147)</f>
        <v/>
      </c>
      <c r="F264" s="2">
        <f>IF(Label_ChatGPT!G147="","",Label_ChatGPT!G147)</f>
        <v/>
      </c>
      <c r="G264" s="5" t="n"/>
      <c r="H264" s="2">
        <f>IF(G264&lt;&gt;"",G264,IF(AND(E264&lt;&gt;"",E264=F264,E264&lt;&gt;"unsure"),E264,""))</f>
        <v/>
      </c>
      <c r="I264" s="2">
        <f>IF(AND(OR(E264="met",E264="not_met"),OR(F264="met",F264="not_met")),1,0)</f>
        <v/>
      </c>
      <c r="J264" s="2">
        <f>IF(I264=1,IF(E264=F264,1,0),"")</f>
        <v/>
      </c>
      <c r="K264" s="2" t="n"/>
      <c r="L264" s="2" t="n"/>
      <c r="M264" s="2" t="n"/>
      <c r="N264" s="2">
        <f>IF(OR(K264="",H264=""),"",IF((K264="met")=(H264="met"),1,0))</f>
        <v/>
      </c>
      <c r="O264" s="2">
        <f>IF(OR(L264="",H264=""),"",IF((L264="met")=(H264="met"),1,0))</f>
        <v/>
      </c>
      <c r="P264" s="2">
        <f>IF(OR(M264="",H264=""),"",IF((M264="met")=(H264="met"),1,0))</f>
        <v/>
      </c>
    </row>
    <row r="265">
      <c r="A265" s="2" t="inlineStr">
        <is>
          <t>C07-04</t>
        </is>
      </c>
      <c r="B265" s="2">
        <f>Key!B265</f>
        <v/>
      </c>
      <c r="C265" s="2">
        <f>Key!C265</f>
        <v/>
      </c>
      <c r="D265" s="2">
        <f>IF(Key!D265="","",Key!D265)</f>
        <v/>
      </c>
      <c r="E265" s="2">
        <f>IF(Label_ChatGPT!F148="","",Label_ChatGPT!F148)</f>
        <v/>
      </c>
      <c r="F265" s="2">
        <f>IF(Label_ChatGPT!G148="","",Label_ChatGPT!G148)</f>
        <v/>
      </c>
      <c r="G265" s="5" t="n"/>
      <c r="H265" s="2">
        <f>IF(G265&lt;&gt;"",G265,IF(AND(E265&lt;&gt;"",E265=F265,E265&lt;&gt;"unsure"),E265,""))</f>
        <v/>
      </c>
      <c r="I265" s="2">
        <f>IF(AND(OR(E265="met",E265="not_met"),OR(F265="met",F265="not_met")),1,0)</f>
        <v/>
      </c>
      <c r="J265" s="2">
        <f>IF(I265=1,IF(E265=F265,1,0),"")</f>
        <v/>
      </c>
      <c r="K265" s="2" t="n"/>
      <c r="L265" s="2" t="n"/>
      <c r="M265" s="2" t="n"/>
      <c r="N265" s="2">
        <f>IF(OR(K265="",H265=""),"",IF((K265="met")=(H265="met"),1,0))</f>
        <v/>
      </c>
      <c r="O265" s="2">
        <f>IF(OR(L265="",H265=""),"",IF((L265="met")=(H265="met"),1,0))</f>
        <v/>
      </c>
      <c r="P265" s="2">
        <f>IF(OR(M265="",H265=""),"",IF((M265="met")=(H265="met"),1,0))</f>
        <v/>
      </c>
    </row>
    <row r="266">
      <c r="A266" s="2" t="inlineStr">
        <is>
          <t>C07-05</t>
        </is>
      </c>
      <c r="B266" s="2">
        <f>Key!B266</f>
        <v/>
      </c>
      <c r="C266" s="2">
        <f>Key!C266</f>
        <v/>
      </c>
      <c r="D266" s="2">
        <f>IF(Key!D266="","",Key!D266)</f>
        <v/>
      </c>
      <c r="E266" s="2">
        <f>IF(Label_ChatGPT!F149="","",Label_ChatGPT!F149)</f>
        <v/>
      </c>
      <c r="F266" s="2">
        <f>IF(Label_ChatGPT!G149="","",Label_ChatGPT!G149)</f>
        <v/>
      </c>
      <c r="G266" s="5" t="n"/>
      <c r="H266" s="2">
        <f>IF(G266&lt;&gt;"",G266,IF(AND(E266&lt;&gt;"",E266=F266,E266&lt;&gt;"unsure"),E266,""))</f>
        <v/>
      </c>
      <c r="I266" s="2">
        <f>IF(AND(OR(E266="met",E266="not_met"),OR(F266="met",F266="not_met")),1,0)</f>
        <v/>
      </c>
      <c r="J266" s="2">
        <f>IF(I266=1,IF(E266=F266,1,0),"")</f>
        <v/>
      </c>
      <c r="K266" s="2" t="n"/>
      <c r="L266" s="2" t="n"/>
      <c r="M266" s="2" t="n"/>
      <c r="N266" s="2">
        <f>IF(OR(K266="",H266=""),"",IF((K266="met")=(H266="met"),1,0))</f>
        <v/>
      </c>
      <c r="O266" s="2">
        <f>IF(OR(L266="",H266=""),"",IF((L266="met")=(H266="met"),1,0))</f>
        <v/>
      </c>
      <c r="P266" s="2">
        <f>IF(OR(M266="",H266=""),"",IF((M266="met")=(H266="met"),1,0))</f>
        <v/>
      </c>
    </row>
    <row r="267">
      <c r="A267" s="2" t="inlineStr">
        <is>
          <t>C07-06</t>
        </is>
      </c>
      <c r="B267" s="2">
        <f>Key!B267</f>
        <v/>
      </c>
      <c r="C267" s="2">
        <f>Key!C267</f>
        <v/>
      </c>
      <c r="D267" s="2">
        <f>IF(Key!D267="","",Key!D267)</f>
        <v/>
      </c>
      <c r="E267" s="2">
        <f>IF(Label_ChatGPT!F150="","",Label_ChatGPT!F150)</f>
        <v/>
      </c>
      <c r="F267" s="2">
        <f>IF(Label_ChatGPT!G150="","",Label_ChatGPT!G150)</f>
        <v/>
      </c>
      <c r="G267" s="5" t="n"/>
      <c r="H267" s="2">
        <f>IF(G267&lt;&gt;"",G267,IF(AND(E267&lt;&gt;"",E267=F267,E267&lt;&gt;"unsure"),E267,""))</f>
        <v/>
      </c>
      <c r="I267" s="2">
        <f>IF(AND(OR(E267="met",E267="not_met"),OR(F267="met",F267="not_met")),1,0)</f>
        <v/>
      </c>
      <c r="J267" s="2">
        <f>IF(I267=1,IF(E267=F267,1,0),"")</f>
        <v/>
      </c>
      <c r="K267" s="2" t="n"/>
      <c r="L267" s="2" t="n"/>
      <c r="M267" s="2" t="n"/>
      <c r="N267" s="2">
        <f>IF(OR(K267="",H267=""),"",IF((K267="met")=(H267="met"),1,0))</f>
        <v/>
      </c>
      <c r="O267" s="2">
        <f>IF(OR(L267="",H267=""),"",IF((L267="met")=(H267="met"),1,0))</f>
        <v/>
      </c>
      <c r="P267" s="2">
        <f>IF(OR(M267="",H267=""),"",IF((M267="met")=(H267="met"),1,0))</f>
        <v/>
      </c>
    </row>
    <row r="268">
      <c r="A268" s="2" t="inlineStr">
        <is>
          <t>C07-07</t>
        </is>
      </c>
      <c r="B268" s="2">
        <f>Key!B268</f>
        <v/>
      </c>
      <c r="C268" s="2">
        <f>Key!C268</f>
        <v/>
      </c>
      <c r="D268" s="2">
        <f>IF(Key!D268="","",Key!D268)</f>
        <v/>
      </c>
      <c r="E268" s="2">
        <f>IF(Label_ChatGPT!F151="","",Label_ChatGPT!F151)</f>
        <v/>
      </c>
      <c r="F268" s="2">
        <f>IF(Label_ChatGPT!G151="","",Label_ChatGPT!G151)</f>
        <v/>
      </c>
      <c r="G268" s="5" t="n"/>
      <c r="H268" s="2">
        <f>IF(G268&lt;&gt;"",G268,IF(AND(E268&lt;&gt;"",E268=F268,E268&lt;&gt;"unsure"),E268,""))</f>
        <v/>
      </c>
      <c r="I268" s="2">
        <f>IF(AND(OR(E268="met",E268="not_met"),OR(F268="met",F268="not_met")),1,0)</f>
        <v/>
      </c>
      <c r="J268" s="2">
        <f>IF(I268=1,IF(E268=F268,1,0),"")</f>
        <v/>
      </c>
      <c r="K268" s="2" t="n"/>
      <c r="L268" s="2" t="n"/>
      <c r="M268" s="2" t="n"/>
      <c r="N268" s="2">
        <f>IF(OR(K268="",H268=""),"",IF((K268="met")=(H268="met"),1,0))</f>
        <v/>
      </c>
      <c r="O268" s="2">
        <f>IF(OR(L268="",H268=""),"",IF((L268="met")=(H268="met"),1,0))</f>
        <v/>
      </c>
      <c r="P268" s="2">
        <f>IF(OR(M268="",H268=""),"",IF((M268="met")=(H268="met"),1,0))</f>
        <v/>
      </c>
    </row>
    <row r="269">
      <c r="A269" s="2" t="inlineStr">
        <is>
          <t>C07-08</t>
        </is>
      </c>
      <c r="B269" s="2">
        <f>Key!B269</f>
        <v/>
      </c>
      <c r="C269" s="2">
        <f>Key!C269</f>
        <v/>
      </c>
      <c r="D269" s="2">
        <f>IF(Key!D269="","",Key!D269)</f>
        <v/>
      </c>
      <c r="E269" s="2">
        <f>IF(Label_ChatGPT!F152="","",Label_ChatGPT!F152)</f>
        <v/>
      </c>
      <c r="F269" s="2">
        <f>IF(Label_ChatGPT!G152="","",Label_ChatGPT!G152)</f>
        <v/>
      </c>
      <c r="G269" s="5" t="n"/>
      <c r="H269" s="2">
        <f>IF(G269&lt;&gt;"",G269,IF(AND(E269&lt;&gt;"",E269=F269,E269&lt;&gt;"unsure"),E269,""))</f>
        <v/>
      </c>
      <c r="I269" s="2">
        <f>IF(AND(OR(E269="met",E269="not_met"),OR(F269="met",F269="not_met")),1,0)</f>
        <v/>
      </c>
      <c r="J269" s="2">
        <f>IF(I269=1,IF(E269=F269,1,0),"")</f>
        <v/>
      </c>
      <c r="K269" s="2" t="n"/>
      <c r="L269" s="2" t="n"/>
      <c r="M269" s="2" t="n"/>
      <c r="N269" s="2">
        <f>IF(OR(K269="",H269=""),"",IF((K269="met")=(H269="met"),1,0))</f>
        <v/>
      </c>
      <c r="O269" s="2">
        <f>IF(OR(L269="",H269=""),"",IF((L269="met")=(H269="met"),1,0))</f>
        <v/>
      </c>
      <c r="P269" s="2">
        <f>IF(OR(M269="",H269=""),"",IF((M269="met")=(H269="met"),1,0))</f>
        <v/>
      </c>
    </row>
    <row r="270">
      <c r="A270" s="2" t="inlineStr">
        <is>
          <t>C07-09</t>
        </is>
      </c>
      <c r="B270" s="2">
        <f>Key!B270</f>
        <v/>
      </c>
      <c r="C270" s="2">
        <f>Key!C270</f>
        <v/>
      </c>
      <c r="D270" s="2">
        <f>IF(Key!D270="","",Key!D270)</f>
        <v/>
      </c>
      <c r="E270" s="2">
        <f>IF(Label_ChatGPT!F153="","",Label_ChatGPT!F153)</f>
        <v/>
      </c>
      <c r="F270" s="2">
        <f>IF(Label_ChatGPT!G153="","",Label_ChatGPT!G153)</f>
        <v/>
      </c>
      <c r="G270" s="5" t="n"/>
      <c r="H270" s="2">
        <f>IF(G270&lt;&gt;"",G270,IF(AND(E270&lt;&gt;"",E270=F270,E270&lt;&gt;"unsure"),E270,""))</f>
        <v/>
      </c>
      <c r="I270" s="2">
        <f>IF(AND(OR(E270="met",E270="not_met"),OR(F270="met",F270="not_met")),1,0)</f>
        <v/>
      </c>
      <c r="J270" s="2">
        <f>IF(I270=1,IF(E270=F270,1,0),"")</f>
        <v/>
      </c>
      <c r="K270" s="2" t="n"/>
      <c r="L270" s="2" t="n"/>
      <c r="M270" s="2" t="n"/>
      <c r="N270" s="2">
        <f>IF(OR(K270="",H270=""),"",IF((K270="met")=(H270="met"),1,0))</f>
        <v/>
      </c>
      <c r="O270" s="2">
        <f>IF(OR(L270="",H270=""),"",IF((L270="met")=(H270="met"),1,0))</f>
        <v/>
      </c>
      <c r="P270" s="2">
        <f>IF(OR(M270="",H270=""),"",IF((M270="met")=(H270="met"),1,0))</f>
        <v/>
      </c>
    </row>
    <row r="271">
      <c r="A271" s="2" t="inlineStr">
        <is>
          <t>C07-10</t>
        </is>
      </c>
      <c r="B271" s="2">
        <f>Key!B271</f>
        <v/>
      </c>
      <c r="C271" s="2">
        <f>Key!C271</f>
        <v/>
      </c>
      <c r="D271" s="2">
        <f>IF(Key!D271="","",Key!D271)</f>
        <v/>
      </c>
      <c r="E271" s="2">
        <f>IF(Label_ChatGPT!F154="","",Label_ChatGPT!F154)</f>
        <v/>
      </c>
      <c r="F271" s="2">
        <f>IF(Label_ChatGPT!G154="","",Label_ChatGPT!G154)</f>
        <v/>
      </c>
      <c r="G271" s="5" t="n"/>
      <c r="H271" s="2">
        <f>IF(G271&lt;&gt;"",G271,IF(AND(E271&lt;&gt;"",E271=F271,E271&lt;&gt;"unsure"),E271,""))</f>
        <v/>
      </c>
      <c r="I271" s="2">
        <f>IF(AND(OR(E271="met",E271="not_met"),OR(F271="met",F271="not_met")),1,0)</f>
        <v/>
      </c>
      <c r="J271" s="2">
        <f>IF(I271=1,IF(E271=F271,1,0),"")</f>
        <v/>
      </c>
      <c r="K271" s="2" t="n"/>
      <c r="L271" s="2" t="n"/>
      <c r="M271" s="2" t="n"/>
      <c r="N271" s="2">
        <f>IF(OR(K271="",H271=""),"",IF((K271="met")=(H271="met"),1,0))</f>
        <v/>
      </c>
      <c r="O271" s="2">
        <f>IF(OR(L271="",H271=""),"",IF((L271="met")=(H271="met"),1,0))</f>
        <v/>
      </c>
      <c r="P271" s="2">
        <f>IF(OR(M271="",H271=""),"",IF((M271="met")=(H271="met"),1,0))</f>
        <v/>
      </c>
    </row>
    <row r="272">
      <c r="A272" s="2" t="inlineStr">
        <is>
          <t>C07-11</t>
        </is>
      </c>
      <c r="B272" s="2">
        <f>Key!B272</f>
        <v/>
      </c>
      <c r="C272" s="2">
        <f>Key!C272</f>
        <v/>
      </c>
      <c r="D272" s="2">
        <f>IF(Key!D272="","",Key!D272)</f>
        <v/>
      </c>
      <c r="E272" s="2">
        <f>IF(Label_ChatGPT!F155="","",Label_ChatGPT!F155)</f>
        <v/>
      </c>
      <c r="F272" s="2">
        <f>IF(Label_ChatGPT!G155="","",Label_ChatGPT!G155)</f>
        <v/>
      </c>
      <c r="G272" s="5" t="n"/>
      <c r="H272" s="2">
        <f>IF(G272&lt;&gt;"",G272,IF(AND(E272&lt;&gt;"",E272=F272,E272&lt;&gt;"unsure"),E272,""))</f>
        <v/>
      </c>
      <c r="I272" s="2">
        <f>IF(AND(OR(E272="met",E272="not_met"),OR(F272="met",F272="not_met")),1,0)</f>
        <v/>
      </c>
      <c r="J272" s="2">
        <f>IF(I272=1,IF(E272=F272,1,0),"")</f>
        <v/>
      </c>
      <c r="K272" s="2" t="n"/>
      <c r="L272" s="2" t="n"/>
      <c r="M272" s="2" t="n"/>
      <c r="N272" s="2">
        <f>IF(OR(K272="",H272=""),"",IF((K272="met")=(H272="met"),1,0))</f>
        <v/>
      </c>
      <c r="O272" s="2">
        <f>IF(OR(L272="",H272=""),"",IF((L272="met")=(H272="met"),1,0))</f>
        <v/>
      </c>
      <c r="P272" s="2">
        <f>IF(OR(M272="",H272=""),"",IF((M272="met")=(H272="met"),1,0))</f>
        <v/>
      </c>
    </row>
    <row r="273">
      <c r="A273" s="2" t="inlineStr">
        <is>
          <t>C07-12</t>
        </is>
      </c>
      <c r="B273" s="2">
        <f>Key!B273</f>
        <v/>
      </c>
      <c r="C273" s="2">
        <f>Key!C273</f>
        <v/>
      </c>
      <c r="D273" s="2">
        <f>IF(Key!D273="","",Key!D273)</f>
        <v/>
      </c>
      <c r="E273" s="2">
        <f>IF(Label_ChatGPT!F156="","",Label_ChatGPT!F156)</f>
        <v/>
      </c>
      <c r="F273" s="2">
        <f>IF(Label_ChatGPT!G156="","",Label_ChatGPT!G156)</f>
        <v/>
      </c>
      <c r="G273" s="5" t="n"/>
      <c r="H273" s="2">
        <f>IF(G273&lt;&gt;"",G273,IF(AND(E273&lt;&gt;"",E273=F273,E273&lt;&gt;"unsure"),E273,""))</f>
        <v/>
      </c>
      <c r="I273" s="2">
        <f>IF(AND(OR(E273="met",E273="not_met"),OR(F273="met",F273="not_met")),1,0)</f>
        <v/>
      </c>
      <c r="J273" s="2">
        <f>IF(I273=1,IF(E273=F273,1,0),"")</f>
        <v/>
      </c>
      <c r="K273" s="2" t="n"/>
      <c r="L273" s="2" t="n"/>
      <c r="M273" s="2" t="n"/>
      <c r="N273" s="2">
        <f>IF(OR(K273="",H273=""),"",IF((K273="met")=(H273="met"),1,0))</f>
        <v/>
      </c>
      <c r="O273" s="2">
        <f>IF(OR(L273="",H273=""),"",IF((L273="met")=(H273="met"),1,0))</f>
        <v/>
      </c>
      <c r="P273" s="2">
        <f>IF(OR(M273="",H273=""),"",IF((M273="met")=(H273="met"),1,0))</f>
        <v/>
      </c>
    </row>
    <row r="274">
      <c r="A274" s="2" t="inlineStr">
        <is>
          <t>C07-13</t>
        </is>
      </c>
      <c r="B274" s="2">
        <f>Key!B274</f>
        <v/>
      </c>
      <c r="C274" s="2">
        <f>Key!C274</f>
        <v/>
      </c>
      <c r="D274" s="2">
        <f>IF(Key!D274="","",Key!D274)</f>
        <v/>
      </c>
      <c r="E274" s="2">
        <f>IF(Label_ChatGPT!F157="","",Label_ChatGPT!F157)</f>
        <v/>
      </c>
      <c r="F274" s="2">
        <f>IF(Label_ChatGPT!G157="","",Label_ChatGPT!G157)</f>
        <v/>
      </c>
      <c r="G274" s="5" t="n"/>
      <c r="H274" s="2">
        <f>IF(G274&lt;&gt;"",G274,IF(AND(E274&lt;&gt;"",E274=F274,E274&lt;&gt;"unsure"),E274,""))</f>
        <v/>
      </c>
      <c r="I274" s="2">
        <f>IF(AND(OR(E274="met",E274="not_met"),OR(F274="met",F274="not_met")),1,0)</f>
        <v/>
      </c>
      <c r="J274" s="2">
        <f>IF(I274=1,IF(E274=F274,1,0),"")</f>
        <v/>
      </c>
      <c r="K274" s="2" t="n"/>
      <c r="L274" s="2" t="n"/>
      <c r="M274" s="2" t="n"/>
      <c r="N274" s="2">
        <f>IF(OR(K274="",H274=""),"",IF((K274="met")=(H274="met"),1,0))</f>
        <v/>
      </c>
      <c r="O274" s="2">
        <f>IF(OR(L274="",H274=""),"",IF((L274="met")=(H274="met"),1,0))</f>
        <v/>
      </c>
      <c r="P274" s="2">
        <f>IF(OR(M274="",H274=""),"",IF((M274="met")=(H274="met"),1,0))</f>
        <v/>
      </c>
    </row>
    <row r="275">
      <c r="A275" s="2" t="inlineStr">
        <is>
          <t>C07-14</t>
        </is>
      </c>
      <c r="B275" s="2">
        <f>Key!B275</f>
        <v/>
      </c>
      <c r="C275" s="2">
        <f>Key!C275</f>
        <v/>
      </c>
      <c r="D275" s="2">
        <f>IF(Key!D275="","",Key!D275)</f>
        <v/>
      </c>
      <c r="E275" s="2">
        <f>IF(Label_ChatGPT!F158="","",Label_ChatGPT!F158)</f>
        <v/>
      </c>
      <c r="F275" s="2">
        <f>IF(Label_ChatGPT!G158="","",Label_ChatGPT!G158)</f>
        <v/>
      </c>
      <c r="G275" s="5" t="n"/>
      <c r="H275" s="2">
        <f>IF(G275&lt;&gt;"",G275,IF(AND(E275&lt;&gt;"",E275=F275,E275&lt;&gt;"unsure"),E275,""))</f>
        <v/>
      </c>
      <c r="I275" s="2">
        <f>IF(AND(OR(E275="met",E275="not_met"),OR(F275="met",F275="not_met")),1,0)</f>
        <v/>
      </c>
      <c r="J275" s="2">
        <f>IF(I275=1,IF(E275=F275,1,0),"")</f>
        <v/>
      </c>
      <c r="K275" s="2" t="n"/>
      <c r="L275" s="2" t="n"/>
      <c r="M275" s="2" t="n"/>
      <c r="N275" s="2">
        <f>IF(OR(K275="",H275=""),"",IF((K275="met")=(H275="met"),1,0))</f>
        <v/>
      </c>
      <c r="O275" s="2">
        <f>IF(OR(L275="",H275=""),"",IF((L275="met")=(H275="met"),1,0))</f>
        <v/>
      </c>
      <c r="P275" s="2">
        <f>IF(OR(M275="",H275=""),"",IF((M275="met")=(H275="met"),1,0))</f>
        <v/>
      </c>
    </row>
    <row r="276">
      <c r="A276" s="2" t="inlineStr">
        <is>
          <t>C07-15</t>
        </is>
      </c>
      <c r="B276" s="2">
        <f>Key!B276</f>
        <v/>
      </c>
      <c r="C276" s="2">
        <f>Key!C276</f>
        <v/>
      </c>
      <c r="D276" s="2">
        <f>IF(Key!D276="","",Key!D276)</f>
        <v/>
      </c>
      <c r="E276" s="2">
        <f>IF(Label_ChatGPT!F159="","",Label_ChatGPT!F159)</f>
        <v/>
      </c>
      <c r="F276" s="2">
        <f>IF(Label_ChatGPT!G159="","",Label_ChatGPT!G159)</f>
        <v/>
      </c>
      <c r="G276" s="5" t="n"/>
      <c r="H276" s="2">
        <f>IF(G276&lt;&gt;"",G276,IF(AND(E276&lt;&gt;"",E276=F276,E276&lt;&gt;"unsure"),E276,""))</f>
        <v/>
      </c>
      <c r="I276" s="2">
        <f>IF(AND(OR(E276="met",E276="not_met"),OR(F276="met",F276="not_met")),1,0)</f>
        <v/>
      </c>
      <c r="J276" s="2">
        <f>IF(I276=1,IF(E276=F276,1,0),"")</f>
        <v/>
      </c>
      <c r="K276" s="2" t="n"/>
      <c r="L276" s="2" t="n"/>
      <c r="M276" s="2" t="n"/>
      <c r="N276" s="2">
        <f>IF(OR(K276="",H276=""),"",IF((K276="met")=(H276="met"),1,0))</f>
        <v/>
      </c>
      <c r="O276" s="2">
        <f>IF(OR(L276="",H276=""),"",IF((L276="met")=(H276="met"),1,0))</f>
        <v/>
      </c>
      <c r="P276" s="2">
        <f>IF(OR(M276="",H276=""),"",IF((M276="met")=(H276="met"),1,0))</f>
        <v/>
      </c>
    </row>
    <row r="277">
      <c r="A277" s="2" t="inlineStr">
        <is>
          <t>C07-16</t>
        </is>
      </c>
      <c r="B277" s="2">
        <f>Key!B277</f>
        <v/>
      </c>
      <c r="C277" s="2">
        <f>Key!C277</f>
        <v/>
      </c>
      <c r="D277" s="2">
        <f>IF(Key!D277="","",Key!D277)</f>
        <v/>
      </c>
      <c r="E277" s="2">
        <f>IF(Label_ChatGPT!F160="","",Label_ChatGPT!F160)</f>
        <v/>
      </c>
      <c r="F277" s="2">
        <f>IF(Label_ChatGPT!G160="","",Label_ChatGPT!G160)</f>
        <v/>
      </c>
      <c r="G277" s="5" t="n"/>
      <c r="H277" s="2">
        <f>IF(G277&lt;&gt;"",G277,IF(AND(E277&lt;&gt;"",E277=F277,E277&lt;&gt;"unsure"),E277,""))</f>
        <v/>
      </c>
      <c r="I277" s="2">
        <f>IF(AND(OR(E277="met",E277="not_met"),OR(F277="met",F277="not_met")),1,0)</f>
        <v/>
      </c>
      <c r="J277" s="2">
        <f>IF(I277=1,IF(E277=F277,1,0),"")</f>
        <v/>
      </c>
      <c r="K277" s="2" t="n"/>
      <c r="L277" s="2" t="n"/>
      <c r="M277" s="2" t="n"/>
      <c r="N277" s="2">
        <f>IF(OR(K277="",H277=""),"",IF((K277="met")=(H277="met"),1,0))</f>
        <v/>
      </c>
      <c r="O277" s="2">
        <f>IF(OR(L277="",H277=""),"",IF((L277="met")=(H277="met"),1,0))</f>
        <v/>
      </c>
      <c r="P277" s="2">
        <f>IF(OR(M277="",H277=""),"",IF((M277="met")=(H277="met"),1,0))</f>
        <v/>
      </c>
    </row>
    <row r="278">
      <c r="A278" s="2" t="inlineStr">
        <is>
          <t>C07-17</t>
        </is>
      </c>
      <c r="B278" s="2">
        <f>Key!B278</f>
        <v/>
      </c>
      <c r="C278" s="2">
        <f>Key!C278</f>
        <v/>
      </c>
      <c r="D278" s="2">
        <f>IF(Key!D278="","",Key!D278)</f>
        <v/>
      </c>
      <c r="E278" s="2">
        <f>IF(Label_ChatGPT!F161="","",Label_ChatGPT!F161)</f>
        <v/>
      </c>
      <c r="F278" s="2">
        <f>IF(Label_ChatGPT!G161="","",Label_ChatGPT!G161)</f>
        <v/>
      </c>
      <c r="G278" s="5" t="n"/>
      <c r="H278" s="2">
        <f>IF(G278&lt;&gt;"",G278,IF(AND(E278&lt;&gt;"",E278=F278,E278&lt;&gt;"unsure"),E278,""))</f>
        <v/>
      </c>
      <c r="I278" s="2">
        <f>IF(AND(OR(E278="met",E278="not_met"),OR(F278="met",F278="not_met")),1,0)</f>
        <v/>
      </c>
      <c r="J278" s="2">
        <f>IF(I278=1,IF(E278=F278,1,0),"")</f>
        <v/>
      </c>
      <c r="K278" s="2" t="n"/>
      <c r="L278" s="2" t="n"/>
      <c r="M278" s="2" t="n"/>
      <c r="N278" s="2">
        <f>IF(OR(K278="",H278=""),"",IF((K278="met")=(H278="met"),1,0))</f>
        <v/>
      </c>
      <c r="O278" s="2">
        <f>IF(OR(L278="",H278=""),"",IF((L278="met")=(H278="met"),1,0))</f>
        <v/>
      </c>
      <c r="P278" s="2">
        <f>IF(OR(M278="",H278=""),"",IF((M278="met")=(H278="met"),1,0))</f>
        <v/>
      </c>
    </row>
    <row r="279">
      <c r="A279" s="2" t="inlineStr">
        <is>
          <t>C07-18</t>
        </is>
      </c>
      <c r="B279" s="2">
        <f>Key!B279</f>
        <v/>
      </c>
      <c r="C279" s="2">
        <f>Key!C279</f>
        <v/>
      </c>
      <c r="D279" s="2">
        <f>IF(Key!D279="","",Key!D279)</f>
        <v/>
      </c>
      <c r="E279" s="2">
        <f>IF(Label_ChatGPT!F162="","",Label_ChatGPT!F162)</f>
        <v/>
      </c>
      <c r="F279" s="2">
        <f>IF(Label_ChatGPT!G162="","",Label_ChatGPT!G162)</f>
        <v/>
      </c>
      <c r="G279" s="5" t="n"/>
      <c r="H279" s="2">
        <f>IF(G279&lt;&gt;"",G279,IF(AND(E279&lt;&gt;"",E279=F279,E279&lt;&gt;"unsure"),E279,""))</f>
        <v/>
      </c>
      <c r="I279" s="2">
        <f>IF(AND(OR(E279="met",E279="not_met"),OR(F279="met",F279="not_met")),1,0)</f>
        <v/>
      </c>
      <c r="J279" s="2">
        <f>IF(I279=1,IF(E279=F279,1,0),"")</f>
        <v/>
      </c>
      <c r="K279" s="2" t="n"/>
      <c r="L279" s="2" t="n"/>
      <c r="M279" s="2" t="n"/>
      <c r="N279" s="2">
        <f>IF(OR(K279="",H279=""),"",IF((K279="met")=(H279="met"),1,0))</f>
        <v/>
      </c>
      <c r="O279" s="2">
        <f>IF(OR(L279="",H279=""),"",IF((L279="met")=(H279="met"),1,0))</f>
        <v/>
      </c>
      <c r="P279" s="2">
        <f>IF(OR(M279="",H279=""),"",IF((M279="met")=(H279="met"),1,0))</f>
        <v/>
      </c>
    </row>
    <row r="280">
      <c r="A280" s="2" t="inlineStr">
        <is>
          <t>C07-19</t>
        </is>
      </c>
      <c r="B280" s="2">
        <f>Key!B280</f>
        <v/>
      </c>
      <c r="C280" s="2">
        <f>Key!C280</f>
        <v/>
      </c>
      <c r="D280" s="2">
        <f>IF(Key!D280="","",Key!D280)</f>
        <v/>
      </c>
      <c r="E280" s="2">
        <f>IF(Label_ChatGPT!F163="","",Label_ChatGPT!F163)</f>
        <v/>
      </c>
      <c r="F280" s="2">
        <f>IF(Label_ChatGPT!G163="","",Label_ChatGPT!G163)</f>
        <v/>
      </c>
      <c r="G280" s="5" t="n"/>
      <c r="H280" s="2">
        <f>IF(G280&lt;&gt;"",G280,IF(AND(E280&lt;&gt;"",E280=F280,E280&lt;&gt;"unsure"),E280,""))</f>
        <v/>
      </c>
      <c r="I280" s="2">
        <f>IF(AND(OR(E280="met",E280="not_met"),OR(F280="met",F280="not_met")),1,0)</f>
        <v/>
      </c>
      <c r="J280" s="2">
        <f>IF(I280=1,IF(E280=F280,1,0),"")</f>
        <v/>
      </c>
      <c r="K280" s="2" t="n"/>
      <c r="L280" s="2" t="n"/>
      <c r="M280" s="2" t="n"/>
      <c r="N280" s="2">
        <f>IF(OR(K280="",H280=""),"",IF((K280="met")=(H280="met"),1,0))</f>
        <v/>
      </c>
      <c r="O280" s="2">
        <f>IF(OR(L280="",H280=""),"",IF((L280="met")=(H280="met"),1,0))</f>
        <v/>
      </c>
      <c r="P280" s="2">
        <f>IF(OR(M280="",H280=""),"",IF((M280="met")=(H280="met"),1,0))</f>
        <v/>
      </c>
    </row>
    <row r="281">
      <c r="A281" s="2" t="inlineStr">
        <is>
          <t>C07-20</t>
        </is>
      </c>
      <c r="B281" s="2">
        <f>Key!B281</f>
        <v/>
      </c>
      <c r="C281" s="2">
        <f>Key!C281</f>
        <v/>
      </c>
      <c r="D281" s="2">
        <f>IF(Key!D281="","",Key!D281)</f>
        <v/>
      </c>
      <c r="E281" s="2">
        <f>IF(Label_ChatGPT!F164="","",Label_ChatGPT!F164)</f>
        <v/>
      </c>
      <c r="F281" s="2">
        <f>IF(Label_ChatGPT!G164="","",Label_ChatGPT!G164)</f>
        <v/>
      </c>
      <c r="G281" s="5" t="n"/>
      <c r="H281" s="2">
        <f>IF(G281&lt;&gt;"",G281,IF(AND(E281&lt;&gt;"",E281=F281,E281&lt;&gt;"unsure"),E281,""))</f>
        <v/>
      </c>
      <c r="I281" s="2">
        <f>IF(AND(OR(E281="met",E281="not_met"),OR(F281="met",F281="not_met")),1,0)</f>
        <v/>
      </c>
      <c r="J281" s="2">
        <f>IF(I281=1,IF(E281=F281,1,0),"")</f>
        <v/>
      </c>
      <c r="K281" s="2" t="n"/>
      <c r="L281" s="2" t="n"/>
      <c r="M281" s="2" t="n"/>
      <c r="N281" s="2">
        <f>IF(OR(K281="",H281=""),"",IF((K281="met")=(H281="met"),1,0))</f>
        <v/>
      </c>
      <c r="O281" s="2">
        <f>IF(OR(L281="",H281=""),"",IF((L281="met")=(H281="met"),1,0))</f>
        <v/>
      </c>
      <c r="P281" s="2">
        <f>IF(OR(M281="",H281=""),"",IF((M281="met")=(H281="met"),1,0))</f>
        <v/>
      </c>
    </row>
    <row r="282">
      <c r="A282" s="2" t="inlineStr">
        <is>
          <t>C07-21</t>
        </is>
      </c>
      <c r="B282" s="2">
        <f>Key!B282</f>
        <v/>
      </c>
      <c r="C282" s="2">
        <f>Key!C282</f>
        <v/>
      </c>
      <c r="D282" s="2">
        <f>IF(Key!D282="","",Key!D282)</f>
        <v/>
      </c>
      <c r="E282" s="2">
        <f>IF(Label_ChatGPT!F165="","",Label_ChatGPT!F165)</f>
        <v/>
      </c>
      <c r="F282" s="2">
        <f>IF(Label_ChatGPT!G165="","",Label_ChatGPT!G165)</f>
        <v/>
      </c>
      <c r="G282" s="5" t="n"/>
      <c r="H282" s="2">
        <f>IF(G282&lt;&gt;"",G282,IF(AND(E282&lt;&gt;"",E282=F282,E282&lt;&gt;"unsure"),E282,""))</f>
        <v/>
      </c>
      <c r="I282" s="2">
        <f>IF(AND(OR(E282="met",E282="not_met"),OR(F282="met",F282="not_met")),1,0)</f>
        <v/>
      </c>
      <c r="J282" s="2">
        <f>IF(I282=1,IF(E282=F282,1,0),"")</f>
        <v/>
      </c>
      <c r="K282" s="2" t="n"/>
      <c r="L282" s="2" t="n"/>
      <c r="M282" s="2" t="n"/>
      <c r="N282" s="2">
        <f>IF(OR(K282="",H282=""),"",IF((K282="met")=(H282="met"),1,0))</f>
        <v/>
      </c>
      <c r="O282" s="2">
        <f>IF(OR(L282="",H282=""),"",IF((L282="met")=(H282="met"),1,0))</f>
        <v/>
      </c>
      <c r="P282" s="2">
        <f>IF(OR(M282="",H282=""),"",IF((M282="met")=(H282="met"),1,0))</f>
        <v/>
      </c>
    </row>
    <row r="283">
      <c r="A283" s="2" t="inlineStr">
        <is>
          <t>C07-22</t>
        </is>
      </c>
      <c r="B283" s="2">
        <f>Key!B283</f>
        <v/>
      </c>
      <c r="C283" s="2">
        <f>Key!C283</f>
        <v/>
      </c>
      <c r="D283" s="2">
        <f>IF(Key!D283="","",Key!D283)</f>
        <v/>
      </c>
      <c r="E283" s="2">
        <f>IF(Label_ChatGPT!F166="","",Label_ChatGPT!F166)</f>
        <v/>
      </c>
      <c r="F283" s="2">
        <f>IF(Label_ChatGPT!G166="","",Label_ChatGPT!G166)</f>
        <v/>
      </c>
      <c r="G283" s="5" t="n"/>
      <c r="H283" s="2">
        <f>IF(G283&lt;&gt;"",G283,IF(AND(E283&lt;&gt;"",E283=F283,E283&lt;&gt;"unsure"),E283,""))</f>
        <v/>
      </c>
      <c r="I283" s="2">
        <f>IF(AND(OR(E283="met",E283="not_met"),OR(F283="met",F283="not_met")),1,0)</f>
        <v/>
      </c>
      <c r="J283" s="2">
        <f>IF(I283=1,IF(E283=F283,1,0),"")</f>
        <v/>
      </c>
      <c r="K283" s="2" t="n"/>
      <c r="L283" s="2" t="n"/>
      <c r="M283" s="2" t="n"/>
      <c r="N283" s="2">
        <f>IF(OR(K283="",H283=""),"",IF((K283="met")=(H283="met"),1,0))</f>
        <v/>
      </c>
      <c r="O283" s="2">
        <f>IF(OR(L283="",H283=""),"",IF((L283="met")=(H283="met"),1,0))</f>
        <v/>
      </c>
      <c r="P283" s="2">
        <f>IF(OR(M283="",H283=""),"",IF((M283="met")=(H283="met"),1,0))</f>
        <v/>
      </c>
    </row>
    <row r="284">
      <c r="A284" s="2" t="inlineStr">
        <is>
          <t>C07-23</t>
        </is>
      </c>
      <c r="B284" s="2">
        <f>Key!B284</f>
        <v/>
      </c>
      <c r="C284" s="2">
        <f>Key!C284</f>
        <v/>
      </c>
      <c r="D284" s="2">
        <f>IF(Key!D284="","",Key!D284)</f>
        <v/>
      </c>
      <c r="E284" s="2">
        <f>IF(Label_ChatGPT!F167="","",Label_ChatGPT!F167)</f>
        <v/>
      </c>
      <c r="F284" s="2">
        <f>IF(Label_ChatGPT!G167="","",Label_ChatGPT!G167)</f>
        <v/>
      </c>
      <c r="G284" s="5" t="n"/>
      <c r="H284" s="2">
        <f>IF(G284&lt;&gt;"",G284,IF(AND(E284&lt;&gt;"",E284=F284,E284&lt;&gt;"unsure"),E284,""))</f>
        <v/>
      </c>
      <c r="I284" s="2">
        <f>IF(AND(OR(E284="met",E284="not_met"),OR(F284="met",F284="not_met")),1,0)</f>
        <v/>
      </c>
      <c r="J284" s="2">
        <f>IF(I284=1,IF(E284=F284,1,0),"")</f>
        <v/>
      </c>
      <c r="K284" s="2" t="n"/>
      <c r="L284" s="2" t="n"/>
      <c r="M284" s="2" t="n"/>
      <c r="N284" s="2">
        <f>IF(OR(K284="",H284=""),"",IF((K284="met")=(H284="met"),1,0))</f>
        <v/>
      </c>
      <c r="O284" s="2">
        <f>IF(OR(L284="",H284=""),"",IF((L284="met")=(H284="met"),1,0))</f>
        <v/>
      </c>
      <c r="P284" s="2">
        <f>IF(OR(M284="",H284=""),"",IF((M284="met")=(H284="met"),1,0))</f>
        <v/>
      </c>
    </row>
    <row r="285">
      <c r="A285" s="2" t="inlineStr">
        <is>
          <t>C07-24</t>
        </is>
      </c>
      <c r="B285" s="2">
        <f>Key!B285</f>
        <v/>
      </c>
      <c r="C285" s="2">
        <f>Key!C285</f>
        <v/>
      </c>
      <c r="D285" s="2">
        <f>IF(Key!D285="","",Key!D285)</f>
        <v/>
      </c>
      <c r="E285" s="2">
        <f>IF(Label_ChatGPT!F168="","",Label_ChatGPT!F168)</f>
        <v/>
      </c>
      <c r="F285" s="2">
        <f>IF(Label_ChatGPT!G168="","",Label_ChatGPT!G168)</f>
        <v/>
      </c>
      <c r="G285" s="5" t="n"/>
      <c r="H285" s="2">
        <f>IF(G285&lt;&gt;"",G285,IF(AND(E285&lt;&gt;"",E285=F285,E285&lt;&gt;"unsure"),E285,""))</f>
        <v/>
      </c>
      <c r="I285" s="2">
        <f>IF(AND(OR(E285="met",E285="not_met"),OR(F285="met",F285="not_met")),1,0)</f>
        <v/>
      </c>
      <c r="J285" s="2">
        <f>IF(I285=1,IF(E285=F285,1,0),"")</f>
        <v/>
      </c>
      <c r="K285" s="2" t="n"/>
      <c r="L285" s="2" t="n"/>
      <c r="M285" s="2" t="n"/>
      <c r="N285" s="2">
        <f>IF(OR(K285="",H285=""),"",IF((K285="met")=(H285="met"),1,0))</f>
        <v/>
      </c>
      <c r="O285" s="2">
        <f>IF(OR(L285="",H285=""),"",IF((L285="met")=(H285="met"),1,0))</f>
        <v/>
      </c>
      <c r="P285" s="2">
        <f>IF(OR(M285="",H285=""),"",IF((M285="met")=(H285="met"),1,0))</f>
        <v/>
      </c>
    </row>
    <row r="286">
      <c r="A286" s="2" t="inlineStr">
        <is>
          <t>C07-25</t>
        </is>
      </c>
      <c r="B286" s="2">
        <f>Key!B286</f>
        <v/>
      </c>
      <c r="C286" s="2">
        <f>Key!C286</f>
        <v/>
      </c>
      <c r="D286" s="2">
        <f>IF(Key!D286="","",Key!D286)</f>
        <v/>
      </c>
      <c r="E286" s="2">
        <f>IF(Label_ChatGPT!F169="","",Label_ChatGPT!F169)</f>
        <v/>
      </c>
      <c r="F286" s="2">
        <f>IF(Label_ChatGPT!G169="","",Label_ChatGPT!G169)</f>
        <v/>
      </c>
      <c r="G286" s="5" t="n"/>
      <c r="H286" s="2">
        <f>IF(G286&lt;&gt;"",G286,IF(AND(E286&lt;&gt;"",E286=F286,E286&lt;&gt;"unsure"),E286,""))</f>
        <v/>
      </c>
      <c r="I286" s="2">
        <f>IF(AND(OR(E286="met",E286="not_met"),OR(F286="met",F286="not_met")),1,0)</f>
        <v/>
      </c>
      <c r="J286" s="2">
        <f>IF(I286=1,IF(E286=F286,1,0),"")</f>
        <v/>
      </c>
      <c r="K286" s="2" t="n"/>
      <c r="L286" s="2" t="n"/>
      <c r="M286" s="2" t="n"/>
      <c r="N286" s="2">
        <f>IF(OR(K286="",H286=""),"",IF((K286="met")=(H286="met"),1,0))</f>
        <v/>
      </c>
      <c r="O286" s="2">
        <f>IF(OR(L286="",H286=""),"",IF((L286="met")=(H286="met"),1,0))</f>
        <v/>
      </c>
      <c r="P286" s="2">
        <f>IF(OR(M286="",H286=""),"",IF((M286="met")=(H286="met"),1,0))</f>
        <v/>
      </c>
    </row>
    <row r="287">
      <c r="A287" s="2" t="inlineStr">
        <is>
          <t>C08-01</t>
        </is>
      </c>
      <c r="B287" s="2">
        <f>Key!B287</f>
        <v/>
      </c>
      <c r="C287" s="2">
        <f>Key!C287</f>
        <v/>
      </c>
      <c r="D287" s="2">
        <f>IF(Key!D287="","",Key!D287)</f>
        <v/>
      </c>
      <c r="E287" s="2">
        <f>IF(Label_ChatGPT!F170="","",Label_ChatGPT!F170)</f>
        <v/>
      </c>
      <c r="F287" s="2">
        <f>IF(Label_ChatGPT!G170="","",Label_ChatGPT!G170)</f>
        <v/>
      </c>
      <c r="G287" s="5" t="n"/>
      <c r="H287" s="2">
        <f>IF(G287&lt;&gt;"",G287,IF(AND(E287&lt;&gt;"",E287=F287,E287&lt;&gt;"unsure"),E287,""))</f>
        <v/>
      </c>
      <c r="I287" s="2">
        <f>IF(AND(OR(E287="met",E287="not_met"),OR(F287="met",F287="not_met")),1,0)</f>
        <v/>
      </c>
      <c r="J287" s="2">
        <f>IF(I287=1,IF(E287=F287,1,0),"")</f>
        <v/>
      </c>
      <c r="K287" s="2" t="n"/>
      <c r="L287" s="2" t="n"/>
      <c r="M287" s="2" t="n"/>
      <c r="N287" s="2">
        <f>IF(OR(K287="",H287=""),"",IF((K287="met")=(H287="met"),1,0))</f>
        <v/>
      </c>
      <c r="O287" s="2">
        <f>IF(OR(L287="",H287=""),"",IF((L287="met")=(H287="met"),1,0))</f>
        <v/>
      </c>
      <c r="P287" s="2">
        <f>IF(OR(M287="",H287=""),"",IF((M287="met")=(H287="met"),1,0))</f>
        <v/>
      </c>
    </row>
    <row r="288">
      <c r="A288" s="2" t="inlineStr">
        <is>
          <t>C08-02</t>
        </is>
      </c>
      <c r="B288" s="2">
        <f>Key!B288</f>
        <v/>
      </c>
      <c r="C288" s="2">
        <f>Key!C288</f>
        <v/>
      </c>
      <c r="D288" s="2">
        <f>IF(Key!D288="","",Key!D288)</f>
        <v/>
      </c>
      <c r="E288" s="2">
        <f>IF(Label_ChatGPT!F171="","",Label_ChatGPT!F171)</f>
        <v/>
      </c>
      <c r="F288" s="2">
        <f>IF(Label_ChatGPT!G171="","",Label_ChatGPT!G171)</f>
        <v/>
      </c>
      <c r="G288" s="5" t="n"/>
      <c r="H288" s="2">
        <f>IF(G288&lt;&gt;"",G288,IF(AND(E288&lt;&gt;"",E288=F288,E288&lt;&gt;"unsure"),E288,""))</f>
        <v/>
      </c>
      <c r="I288" s="2">
        <f>IF(AND(OR(E288="met",E288="not_met"),OR(F288="met",F288="not_met")),1,0)</f>
        <v/>
      </c>
      <c r="J288" s="2">
        <f>IF(I288=1,IF(E288=F288,1,0),"")</f>
        <v/>
      </c>
      <c r="K288" s="2" t="n"/>
      <c r="L288" s="2" t="n"/>
      <c r="M288" s="2" t="n"/>
      <c r="N288" s="2">
        <f>IF(OR(K288="",H288=""),"",IF((K288="met")=(H288="met"),1,0))</f>
        <v/>
      </c>
      <c r="O288" s="2">
        <f>IF(OR(L288="",H288=""),"",IF((L288="met")=(H288="met"),1,0))</f>
        <v/>
      </c>
      <c r="P288" s="2">
        <f>IF(OR(M288="",H288=""),"",IF((M288="met")=(H288="met"),1,0))</f>
        <v/>
      </c>
    </row>
    <row r="289">
      <c r="A289" s="2" t="inlineStr">
        <is>
          <t>C08-03</t>
        </is>
      </c>
      <c r="B289" s="2">
        <f>Key!B289</f>
        <v/>
      </c>
      <c r="C289" s="2">
        <f>Key!C289</f>
        <v/>
      </c>
      <c r="D289" s="2">
        <f>IF(Key!D289="","",Key!D289)</f>
        <v/>
      </c>
      <c r="E289" s="2">
        <f>IF(Label_ChatGPT!F172="","",Label_ChatGPT!F172)</f>
        <v/>
      </c>
      <c r="F289" s="2">
        <f>IF(Label_ChatGPT!G172="","",Label_ChatGPT!G172)</f>
        <v/>
      </c>
      <c r="G289" s="5" t="n"/>
      <c r="H289" s="2">
        <f>IF(G289&lt;&gt;"",G289,IF(AND(E289&lt;&gt;"",E289=F289,E289&lt;&gt;"unsure"),E289,""))</f>
        <v/>
      </c>
      <c r="I289" s="2">
        <f>IF(AND(OR(E289="met",E289="not_met"),OR(F289="met",F289="not_met")),1,0)</f>
        <v/>
      </c>
      <c r="J289" s="2">
        <f>IF(I289=1,IF(E289=F289,1,0),"")</f>
        <v/>
      </c>
      <c r="K289" s="2" t="n"/>
      <c r="L289" s="2" t="n"/>
      <c r="M289" s="2" t="n"/>
      <c r="N289" s="2">
        <f>IF(OR(K289="",H289=""),"",IF((K289="met")=(H289="met"),1,0))</f>
        <v/>
      </c>
      <c r="O289" s="2">
        <f>IF(OR(L289="",H289=""),"",IF((L289="met")=(H289="met"),1,0))</f>
        <v/>
      </c>
      <c r="P289" s="2">
        <f>IF(OR(M289="",H289=""),"",IF((M289="met")=(H289="met"),1,0))</f>
        <v/>
      </c>
    </row>
    <row r="290">
      <c r="A290" s="2" t="inlineStr">
        <is>
          <t>C08-04</t>
        </is>
      </c>
      <c r="B290" s="2">
        <f>Key!B290</f>
        <v/>
      </c>
      <c r="C290" s="2">
        <f>Key!C290</f>
        <v/>
      </c>
      <c r="D290" s="2">
        <f>IF(Key!D290="","",Key!D290)</f>
        <v/>
      </c>
      <c r="E290" s="2">
        <f>IF(Label_ChatGPT!F173="","",Label_ChatGPT!F173)</f>
        <v/>
      </c>
      <c r="F290" s="2">
        <f>IF(Label_ChatGPT!G173="","",Label_ChatGPT!G173)</f>
        <v/>
      </c>
      <c r="G290" s="5" t="n"/>
      <c r="H290" s="2">
        <f>IF(G290&lt;&gt;"",G290,IF(AND(E290&lt;&gt;"",E290=F290,E290&lt;&gt;"unsure"),E290,""))</f>
        <v/>
      </c>
      <c r="I290" s="2">
        <f>IF(AND(OR(E290="met",E290="not_met"),OR(F290="met",F290="not_met")),1,0)</f>
        <v/>
      </c>
      <c r="J290" s="2">
        <f>IF(I290=1,IF(E290=F290,1,0),"")</f>
        <v/>
      </c>
      <c r="K290" s="2" t="n"/>
      <c r="L290" s="2" t="n"/>
      <c r="M290" s="2" t="n"/>
      <c r="N290" s="2">
        <f>IF(OR(K290="",H290=""),"",IF((K290="met")=(H290="met"),1,0))</f>
        <v/>
      </c>
      <c r="O290" s="2">
        <f>IF(OR(L290="",H290=""),"",IF((L290="met")=(H290="met"),1,0))</f>
        <v/>
      </c>
      <c r="P290" s="2">
        <f>IF(OR(M290="",H290=""),"",IF((M290="met")=(H290="met"),1,0))</f>
        <v/>
      </c>
    </row>
    <row r="291">
      <c r="A291" s="2" t="inlineStr">
        <is>
          <t>C08-05</t>
        </is>
      </c>
      <c r="B291" s="2">
        <f>Key!B291</f>
        <v/>
      </c>
      <c r="C291" s="2">
        <f>Key!C291</f>
        <v/>
      </c>
      <c r="D291" s="2">
        <f>IF(Key!D291="","",Key!D291)</f>
        <v/>
      </c>
      <c r="E291" s="2">
        <f>IF(Label_ChatGPT!F174="","",Label_ChatGPT!F174)</f>
        <v/>
      </c>
      <c r="F291" s="2">
        <f>IF(Label_ChatGPT!G174="","",Label_ChatGPT!G174)</f>
        <v/>
      </c>
      <c r="G291" s="5" t="n"/>
      <c r="H291" s="2">
        <f>IF(G291&lt;&gt;"",G291,IF(AND(E291&lt;&gt;"",E291=F291,E291&lt;&gt;"unsure"),E291,""))</f>
        <v/>
      </c>
      <c r="I291" s="2">
        <f>IF(AND(OR(E291="met",E291="not_met"),OR(F291="met",F291="not_met")),1,0)</f>
        <v/>
      </c>
      <c r="J291" s="2">
        <f>IF(I291=1,IF(E291=F291,1,0),"")</f>
        <v/>
      </c>
      <c r="K291" s="2" t="n"/>
      <c r="L291" s="2" t="n"/>
      <c r="M291" s="2" t="n"/>
      <c r="N291" s="2">
        <f>IF(OR(K291="",H291=""),"",IF((K291="met")=(H291="met"),1,0))</f>
        <v/>
      </c>
      <c r="O291" s="2">
        <f>IF(OR(L291="",H291=""),"",IF((L291="met")=(H291="met"),1,0))</f>
        <v/>
      </c>
      <c r="P291" s="2">
        <f>IF(OR(M291="",H291=""),"",IF((M291="met")=(H291="met"),1,0))</f>
        <v/>
      </c>
    </row>
    <row r="292">
      <c r="A292" s="2" t="inlineStr">
        <is>
          <t>C08-06</t>
        </is>
      </c>
      <c r="B292" s="2">
        <f>Key!B292</f>
        <v/>
      </c>
      <c r="C292" s="2">
        <f>Key!C292</f>
        <v/>
      </c>
      <c r="D292" s="2">
        <f>IF(Key!D292="","",Key!D292)</f>
        <v/>
      </c>
      <c r="E292" s="2">
        <f>IF(Label_ChatGPT!F175="","",Label_ChatGPT!F175)</f>
        <v/>
      </c>
      <c r="F292" s="2">
        <f>IF(Label_ChatGPT!G175="","",Label_ChatGPT!G175)</f>
        <v/>
      </c>
      <c r="G292" s="5" t="n"/>
      <c r="H292" s="2">
        <f>IF(G292&lt;&gt;"",G292,IF(AND(E292&lt;&gt;"",E292=F292,E292&lt;&gt;"unsure"),E292,""))</f>
        <v/>
      </c>
      <c r="I292" s="2">
        <f>IF(AND(OR(E292="met",E292="not_met"),OR(F292="met",F292="not_met")),1,0)</f>
        <v/>
      </c>
      <c r="J292" s="2">
        <f>IF(I292=1,IF(E292=F292,1,0),"")</f>
        <v/>
      </c>
      <c r="K292" s="2" t="n"/>
      <c r="L292" s="2" t="n"/>
      <c r="M292" s="2" t="n"/>
      <c r="N292" s="2">
        <f>IF(OR(K292="",H292=""),"",IF((K292="met")=(H292="met"),1,0))</f>
        <v/>
      </c>
      <c r="O292" s="2">
        <f>IF(OR(L292="",H292=""),"",IF((L292="met")=(H292="met"),1,0))</f>
        <v/>
      </c>
      <c r="P292" s="2">
        <f>IF(OR(M292="",H292=""),"",IF((M292="met")=(H292="met"),1,0))</f>
        <v/>
      </c>
    </row>
    <row r="293">
      <c r="A293" s="2" t="inlineStr">
        <is>
          <t>C08-07</t>
        </is>
      </c>
      <c r="B293" s="2">
        <f>Key!B293</f>
        <v/>
      </c>
      <c r="C293" s="2">
        <f>Key!C293</f>
        <v/>
      </c>
      <c r="D293" s="2">
        <f>IF(Key!D293="","",Key!D293)</f>
        <v/>
      </c>
      <c r="E293" s="2">
        <f>IF(Label_ChatGPT!F176="","",Label_ChatGPT!F176)</f>
        <v/>
      </c>
      <c r="F293" s="2">
        <f>IF(Label_ChatGPT!G176="","",Label_ChatGPT!G176)</f>
        <v/>
      </c>
      <c r="G293" s="5" t="n"/>
      <c r="H293" s="2">
        <f>IF(G293&lt;&gt;"",G293,IF(AND(E293&lt;&gt;"",E293=F293,E293&lt;&gt;"unsure"),E293,""))</f>
        <v/>
      </c>
      <c r="I293" s="2">
        <f>IF(AND(OR(E293="met",E293="not_met"),OR(F293="met",F293="not_met")),1,0)</f>
        <v/>
      </c>
      <c r="J293" s="2">
        <f>IF(I293=1,IF(E293=F293,1,0),"")</f>
        <v/>
      </c>
      <c r="K293" s="2" t="n"/>
      <c r="L293" s="2" t="n"/>
      <c r="M293" s="2" t="n"/>
      <c r="N293" s="2">
        <f>IF(OR(K293="",H293=""),"",IF((K293="met")=(H293="met"),1,0))</f>
        <v/>
      </c>
      <c r="O293" s="2">
        <f>IF(OR(L293="",H293=""),"",IF((L293="met")=(H293="met"),1,0))</f>
        <v/>
      </c>
      <c r="P293" s="2">
        <f>IF(OR(M293="",H293=""),"",IF((M293="met")=(H293="met"),1,0))</f>
        <v/>
      </c>
    </row>
    <row r="294">
      <c r="A294" s="2" t="inlineStr">
        <is>
          <t>C08-08</t>
        </is>
      </c>
      <c r="B294" s="2">
        <f>Key!B294</f>
        <v/>
      </c>
      <c r="C294" s="2">
        <f>Key!C294</f>
        <v/>
      </c>
      <c r="D294" s="2">
        <f>IF(Key!D294="","",Key!D294)</f>
        <v/>
      </c>
      <c r="E294" s="2">
        <f>IF(Label_ChatGPT!F177="","",Label_ChatGPT!F177)</f>
        <v/>
      </c>
      <c r="F294" s="2">
        <f>IF(Label_ChatGPT!G177="","",Label_ChatGPT!G177)</f>
        <v/>
      </c>
      <c r="G294" s="5" t="n"/>
      <c r="H294" s="2">
        <f>IF(G294&lt;&gt;"",G294,IF(AND(E294&lt;&gt;"",E294=F294,E294&lt;&gt;"unsure"),E294,""))</f>
        <v/>
      </c>
      <c r="I294" s="2">
        <f>IF(AND(OR(E294="met",E294="not_met"),OR(F294="met",F294="not_met")),1,0)</f>
        <v/>
      </c>
      <c r="J294" s="2">
        <f>IF(I294=1,IF(E294=F294,1,0),"")</f>
        <v/>
      </c>
      <c r="K294" s="2" t="n"/>
      <c r="L294" s="2" t="n"/>
      <c r="M294" s="2" t="n"/>
      <c r="N294" s="2">
        <f>IF(OR(K294="",H294=""),"",IF((K294="met")=(H294="met"),1,0))</f>
        <v/>
      </c>
      <c r="O294" s="2">
        <f>IF(OR(L294="",H294=""),"",IF((L294="met")=(H294="met"),1,0))</f>
        <v/>
      </c>
      <c r="P294" s="2">
        <f>IF(OR(M294="",H294=""),"",IF((M294="met")=(H294="met"),1,0))</f>
        <v/>
      </c>
    </row>
    <row r="295">
      <c r="A295" s="2" t="inlineStr">
        <is>
          <t>C08-09</t>
        </is>
      </c>
      <c r="B295" s="2">
        <f>Key!B295</f>
        <v/>
      </c>
      <c r="C295" s="2">
        <f>Key!C295</f>
        <v/>
      </c>
      <c r="D295" s="2">
        <f>IF(Key!D295="","",Key!D295)</f>
        <v/>
      </c>
      <c r="E295" s="2">
        <f>IF(Label_ChatGPT!F178="","",Label_ChatGPT!F178)</f>
        <v/>
      </c>
      <c r="F295" s="2">
        <f>IF(Label_ChatGPT!G178="","",Label_ChatGPT!G178)</f>
        <v/>
      </c>
      <c r="G295" s="5" t="n"/>
      <c r="H295" s="2">
        <f>IF(G295&lt;&gt;"",G295,IF(AND(E295&lt;&gt;"",E295=F295,E295&lt;&gt;"unsure"),E295,""))</f>
        <v/>
      </c>
      <c r="I295" s="2">
        <f>IF(AND(OR(E295="met",E295="not_met"),OR(F295="met",F295="not_met")),1,0)</f>
        <v/>
      </c>
      <c r="J295" s="2">
        <f>IF(I295=1,IF(E295=F295,1,0),"")</f>
        <v/>
      </c>
      <c r="K295" s="2" t="n"/>
      <c r="L295" s="2" t="n"/>
      <c r="M295" s="2" t="n"/>
      <c r="N295" s="2">
        <f>IF(OR(K295="",H295=""),"",IF((K295="met")=(H295="met"),1,0))</f>
        <v/>
      </c>
      <c r="O295" s="2">
        <f>IF(OR(L295="",H295=""),"",IF((L295="met")=(H295="met"),1,0))</f>
        <v/>
      </c>
      <c r="P295" s="2">
        <f>IF(OR(M295="",H295=""),"",IF((M295="met")=(H295="met"),1,0))</f>
        <v/>
      </c>
    </row>
    <row r="296">
      <c r="A296" s="2" t="inlineStr">
        <is>
          <t>C08-10</t>
        </is>
      </c>
      <c r="B296" s="2">
        <f>Key!B296</f>
        <v/>
      </c>
      <c r="C296" s="2">
        <f>Key!C296</f>
        <v/>
      </c>
      <c r="D296" s="2">
        <f>IF(Key!D296="","",Key!D296)</f>
        <v/>
      </c>
      <c r="E296" s="2">
        <f>IF(Label_ChatGPT!F179="","",Label_ChatGPT!F179)</f>
        <v/>
      </c>
      <c r="F296" s="2">
        <f>IF(Label_ChatGPT!G179="","",Label_ChatGPT!G179)</f>
        <v/>
      </c>
      <c r="G296" s="5" t="n"/>
      <c r="H296" s="2">
        <f>IF(G296&lt;&gt;"",G296,IF(AND(E296&lt;&gt;"",E296=F296,E296&lt;&gt;"unsure"),E296,""))</f>
        <v/>
      </c>
      <c r="I296" s="2">
        <f>IF(AND(OR(E296="met",E296="not_met"),OR(F296="met",F296="not_met")),1,0)</f>
        <v/>
      </c>
      <c r="J296" s="2">
        <f>IF(I296=1,IF(E296=F296,1,0),"")</f>
        <v/>
      </c>
      <c r="K296" s="2" t="n"/>
      <c r="L296" s="2" t="n"/>
      <c r="M296" s="2" t="n"/>
      <c r="N296" s="2">
        <f>IF(OR(K296="",H296=""),"",IF((K296="met")=(H296="met"),1,0))</f>
        <v/>
      </c>
      <c r="O296" s="2">
        <f>IF(OR(L296="",H296=""),"",IF((L296="met")=(H296="met"),1,0))</f>
        <v/>
      </c>
      <c r="P296" s="2">
        <f>IF(OR(M296="",H296=""),"",IF((M296="met")=(H296="met"),1,0))</f>
        <v/>
      </c>
    </row>
    <row r="297">
      <c r="A297" s="2" t="inlineStr">
        <is>
          <t>C08-11</t>
        </is>
      </c>
      <c r="B297" s="2">
        <f>Key!B297</f>
        <v/>
      </c>
      <c r="C297" s="2">
        <f>Key!C297</f>
        <v/>
      </c>
      <c r="D297" s="2">
        <f>IF(Key!D297="","",Key!D297)</f>
        <v/>
      </c>
      <c r="E297" s="2">
        <f>IF(Label_ChatGPT!F180="","",Label_ChatGPT!F180)</f>
        <v/>
      </c>
      <c r="F297" s="2">
        <f>IF(Label_ChatGPT!G180="","",Label_ChatGPT!G180)</f>
        <v/>
      </c>
      <c r="G297" s="5" t="n"/>
      <c r="H297" s="2">
        <f>IF(G297&lt;&gt;"",G297,IF(AND(E297&lt;&gt;"",E297=F297,E297&lt;&gt;"unsure"),E297,""))</f>
        <v/>
      </c>
      <c r="I297" s="2">
        <f>IF(AND(OR(E297="met",E297="not_met"),OR(F297="met",F297="not_met")),1,0)</f>
        <v/>
      </c>
      <c r="J297" s="2">
        <f>IF(I297=1,IF(E297=F297,1,0),"")</f>
        <v/>
      </c>
      <c r="K297" s="2" t="n"/>
      <c r="L297" s="2" t="n"/>
      <c r="M297" s="2" t="n"/>
      <c r="N297" s="2">
        <f>IF(OR(K297="",H297=""),"",IF((K297="met")=(H297="met"),1,0))</f>
        <v/>
      </c>
      <c r="O297" s="2">
        <f>IF(OR(L297="",H297=""),"",IF((L297="met")=(H297="met"),1,0))</f>
        <v/>
      </c>
      <c r="P297" s="2">
        <f>IF(OR(M297="",H297=""),"",IF((M297="met")=(H297="met"),1,0))</f>
        <v/>
      </c>
    </row>
    <row r="298">
      <c r="A298" s="2" t="inlineStr">
        <is>
          <t>C08-12</t>
        </is>
      </c>
      <c r="B298" s="2">
        <f>Key!B298</f>
        <v/>
      </c>
      <c r="C298" s="2">
        <f>Key!C298</f>
        <v/>
      </c>
      <c r="D298" s="2">
        <f>IF(Key!D298="","",Key!D298)</f>
        <v/>
      </c>
      <c r="E298" s="2">
        <f>IF(Label_ChatGPT!F181="","",Label_ChatGPT!F181)</f>
        <v/>
      </c>
      <c r="F298" s="2">
        <f>IF(Label_ChatGPT!G181="","",Label_ChatGPT!G181)</f>
        <v/>
      </c>
      <c r="G298" s="5" t="n"/>
      <c r="H298" s="2">
        <f>IF(G298&lt;&gt;"",G298,IF(AND(E298&lt;&gt;"",E298=F298,E298&lt;&gt;"unsure"),E298,""))</f>
        <v/>
      </c>
      <c r="I298" s="2">
        <f>IF(AND(OR(E298="met",E298="not_met"),OR(F298="met",F298="not_met")),1,0)</f>
        <v/>
      </c>
      <c r="J298" s="2">
        <f>IF(I298=1,IF(E298=F298,1,0),"")</f>
        <v/>
      </c>
      <c r="K298" s="2" t="n"/>
      <c r="L298" s="2" t="n"/>
      <c r="M298" s="2" t="n"/>
      <c r="N298" s="2">
        <f>IF(OR(K298="",H298=""),"",IF((K298="met")=(H298="met"),1,0))</f>
        <v/>
      </c>
      <c r="O298" s="2">
        <f>IF(OR(L298="",H298=""),"",IF((L298="met")=(H298="met"),1,0))</f>
        <v/>
      </c>
      <c r="P298" s="2">
        <f>IF(OR(M298="",H298=""),"",IF((M298="met")=(H298="met"),1,0))</f>
        <v/>
      </c>
    </row>
    <row r="299">
      <c r="A299" s="2" t="inlineStr">
        <is>
          <t>C08-13</t>
        </is>
      </c>
      <c r="B299" s="2">
        <f>Key!B299</f>
        <v/>
      </c>
      <c r="C299" s="2">
        <f>Key!C299</f>
        <v/>
      </c>
      <c r="D299" s="2">
        <f>IF(Key!D299="","",Key!D299)</f>
        <v/>
      </c>
      <c r="E299" s="2">
        <f>IF(Label_ChatGPT!F182="","",Label_ChatGPT!F182)</f>
        <v/>
      </c>
      <c r="F299" s="2">
        <f>IF(Label_ChatGPT!G182="","",Label_ChatGPT!G182)</f>
        <v/>
      </c>
      <c r="G299" s="5" t="n"/>
      <c r="H299" s="2">
        <f>IF(G299&lt;&gt;"",G299,IF(AND(E299&lt;&gt;"",E299=F299,E299&lt;&gt;"unsure"),E299,""))</f>
        <v/>
      </c>
      <c r="I299" s="2">
        <f>IF(AND(OR(E299="met",E299="not_met"),OR(F299="met",F299="not_met")),1,0)</f>
        <v/>
      </c>
      <c r="J299" s="2">
        <f>IF(I299=1,IF(E299=F299,1,0),"")</f>
        <v/>
      </c>
      <c r="K299" s="2" t="n"/>
      <c r="L299" s="2" t="n"/>
      <c r="M299" s="2" t="n"/>
      <c r="N299" s="2">
        <f>IF(OR(K299="",H299=""),"",IF((K299="met")=(H299="met"),1,0))</f>
        <v/>
      </c>
      <c r="O299" s="2">
        <f>IF(OR(L299="",H299=""),"",IF((L299="met")=(H299="met"),1,0))</f>
        <v/>
      </c>
      <c r="P299" s="2">
        <f>IF(OR(M299="",H299=""),"",IF((M299="met")=(H299="met"),1,0))</f>
        <v/>
      </c>
    </row>
    <row r="300">
      <c r="A300" s="2" t="inlineStr">
        <is>
          <t>C08-14</t>
        </is>
      </c>
      <c r="B300" s="2">
        <f>Key!B300</f>
        <v/>
      </c>
      <c r="C300" s="2">
        <f>Key!C300</f>
        <v/>
      </c>
      <c r="D300" s="2">
        <f>IF(Key!D300="","",Key!D300)</f>
        <v/>
      </c>
      <c r="E300" s="2">
        <f>IF(Label_ChatGPT!F183="","",Label_ChatGPT!F183)</f>
        <v/>
      </c>
      <c r="F300" s="2">
        <f>IF(Label_ChatGPT!G183="","",Label_ChatGPT!G183)</f>
        <v/>
      </c>
      <c r="G300" s="5" t="n"/>
      <c r="H300" s="2">
        <f>IF(G300&lt;&gt;"",G300,IF(AND(E300&lt;&gt;"",E300=F300,E300&lt;&gt;"unsure"),E300,""))</f>
        <v/>
      </c>
      <c r="I300" s="2">
        <f>IF(AND(OR(E300="met",E300="not_met"),OR(F300="met",F300="not_met")),1,0)</f>
        <v/>
      </c>
      <c r="J300" s="2">
        <f>IF(I300=1,IF(E300=F300,1,0),"")</f>
        <v/>
      </c>
      <c r="K300" s="2" t="n"/>
      <c r="L300" s="2" t="n"/>
      <c r="M300" s="2" t="n"/>
      <c r="N300" s="2">
        <f>IF(OR(K300="",H300=""),"",IF((K300="met")=(H300="met"),1,0))</f>
        <v/>
      </c>
      <c r="O300" s="2">
        <f>IF(OR(L300="",H300=""),"",IF((L300="met")=(H300="met"),1,0))</f>
        <v/>
      </c>
      <c r="P300" s="2">
        <f>IF(OR(M300="",H300=""),"",IF((M300="met")=(H300="met"),1,0))</f>
        <v/>
      </c>
    </row>
    <row r="301">
      <c r="A301" s="2" t="inlineStr">
        <is>
          <t>C08-15</t>
        </is>
      </c>
      <c r="B301" s="2">
        <f>Key!B301</f>
        <v/>
      </c>
      <c r="C301" s="2">
        <f>Key!C301</f>
        <v/>
      </c>
      <c r="D301" s="2">
        <f>IF(Key!D301="","",Key!D301)</f>
        <v/>
      </c>
      <c r="E301" s="2">
        <f>IF(Label_ChatGPT!F184="","",Label_ChatGPT!F184)</f>
        <v/>
      </c>
      <c r="F301" s="2">
        <f>IF(Label_ChatGPT!G184="","",Label_ChatGPT!G184)</f>
        <v/>
      </c>
      <c r="G301" s="5" t="n"/>
      <c r="H301" s="2">
        <f>IF(G301&lt;&gt;"",G301,IF(AND(E301&lt;&gt;"",E301=F301,E301&lt;&gt;"unsure"),E301,""))</f>
        <v/>
      </c>
      <c r="I301" s="2">
        <f>IF(AND(OR(E301="met",E301="not_met"),OR(F301="met",F301="not_met")),1,0)</f>
        <v/>
      </c>
      <c r="J301" s="2">
        <f>IF(I301=1,IF(E301=F301,1,0),"")</f>
        <v/>
      </c>
      <c r="K301" s="2" t="n"/>
      <c r="L301" s="2" t="n"/>
      <c r="M301" s="2" t="n"/>
      <c r="N301" s="2">
        <f>IF(OR(K301="",H301=""),"",IF((K301="met")=(H301="met"),1,0))</f>
        <v/>
      </c>
      <c r="O301" s="2">
        <f>IF(OR(L301="",H301=""),"",IF((L301="met")=(H301="met"),1,0))</f>
        <v/>
      </c>
      <c r="P301" s="2">
        <f>IF(OR(M301="",H301=""),"",IF((M301="met")=(H301="met"),1,0))</f>
        <v/>
      </c>
    </row>
    <row r="302">
      <c r="A302" s="2" t="inlineStr">
        <is>
          <t>C08-16</t>
        </is>
      </c>
      <c r="B302" s="2">
        <f>Key!B302</f>
        <v/>
      </c>
      <c r="C302" s="2">
        <f>Key!C302</f>
        <v/>
      </c>
      <c r="D302" s="2">
        <f>IF(Key!D302="","",Key!D302)</f>
        <v/>
      </c>
      <c r="E302" s="2">
        <f>IF(Label_ChatGPT!F185="","",Label_ChatGPT!F185)</f>
        <v/>
      </c>
      <c r="F302" s="2">
        <f>IF(Label_ChatGPT!G185="","",Label_ChatGPT!G185)</f>
        <v/>
      </c>
      <c r="G302" s="5" t="n"/>
      <c r="H302" s="2">
        <f>IF(G302&lt;&gt;"",G302,IF(AND(E302&lt;&gt;"",E302=F302,E302&lt;&gt;"unsure"),E302,""))</f>
        <v/>
      </c>
      <c r="I302" s="2">
        <f>IF(AND(OR(E302="met",E302="not_met"),OR(F302="met",F302="not_met")),1,0)</f>
        <v/>
      </c>
      <c r="J302" s="2">
        <f>IF(I302=1,IF(E302=F302,1,0),"")</f>
        <v/>
      </c>
      <c r="K302" s="2" t="n"/>
      <c r="L302" s="2" t="n"/>
      <c r="M302" s="2" t="n"/>
      <c r="N302" s="2">
        <f>IF(OR(K302="",H302=""),"",IF((K302="met")=(H302="met"),1,0))</f>
        <v/>
      </c>
      <c r="O302" s="2">
        <f>IF(OR(L302="",H302=""),"",IF((L302="met")=(H302="met"),1,0))</f>
        <v/>
      </c>
      <c r="P302" s="2">
        <f>IF(OR(M302="",H302=""),"",IF((M302="met")=(H302="met"),1,0))</f>
        <v/>
      </c>
    </row>
    <row r="303">
      <c r="A303" s="2" t="inlineStr">
        <is>
          <t>C08-17</t>
        </is>
      </c>
      <c r="B303" s="2">
        <f>Key!B303</f>
        <v/>
      </c>
      <c r="C303" s="2">
        <f>Key!C303</f>
        <v/>
      </c>
      <c r="D303" s="2">
        <f>IF(Key!D303="","",Key!D303)</f>
        <v/>
      </c>
      <c r="E303" s="2">
        <f>IF(Label_ChatGPT!F186="","",Label_ChatGPT!F186)</f>
        <v/>
      </c>
      <c r="F303" s="2">
        <f>IF(Label_ChatGPT!G186="","",Label_ChatGPT!G186)</f>
        <v/>
      </c>
      <c r="G303" s="5" t="n"/>
      <c r="H303" s="2">
        <f>IF(G303&lt;&gt;"",G303,IF(AND(E303&lt;&gt;"",E303=F303,E303&lt;&gt;"unsure"),E303,""))</f>
        <v/>
      </c>
      <c r="I303" s="2">
        <f>IF(AND(OR(E303="met",E303="not_met"),OR(F303="met",F303="not_met")),1,0)</f>
        <v/>
      </c>
      <c r="J303" s="2">
        <f>IF(I303=1,IF(E303=F303,1,0),"")</f>
        <v/>
      </c>
      <c r="K303" s="2" t="n"/>
      <c r="L303" s="2" t="n"/>
      <c r="M303" s="2" t="n"/>
      <c r="N303" s="2">
        <f>IF(OR(K303="",H303=""),"",IF((K303="met")=(H303="met"),1,0))</f>
        <v/>
      </c>
      <c r="O303" s="2">
        <f>IF(OR(L303="",H303=""),"",IF((L303="met")=(H303="met"),1,0))</f>
        <v/>
      </c>
      <c r="P303" s="2">
        <f>IF(OR(M303="",H303=""),"",IF((M303="met")=(H303="met"),1,0))</f>
        <v/>
      </c>
    </row>
    <row r="304">
      <c r="A304" s="2" t="inlineStr">
        <is>
          <t>C08-18</t>
        </is>
      </c>
      <c r="B304" s="2">
        <f>Key!B304</f>
        <v/>
      </c>
      <c r="C304" s="2">
        <f>Key!C304</f>
        <v/>
      </c>
      <c r="D304" s="2">
        <f>IF(Key!D304="","",Key!D304)</f>
        <v/>
      </c>
      <c r="E304" s="2">
        <f>IF(Label_ChatGPT!F187="","",Label_ChatGPT!F187)</f>
        <v/>
      </c>
      <c r="F304" s="2">
        <f>IF(Label_ChatGPT!G187="","",Label_ChatGPT!G187)</f>
        <v/>
      </c>
      <c r="G304" s="5" t="n"/>
      <c r="H304" s="2">
        <f>IF(G304&lt;&gt;"",G304,IF(AND(E304&lt;&gt;"",E304=F304,E304&lt;&gt;"unsure"),E304,""))</f>
        <v/>
      </c>
      <c r="I304" s="2">
        <f>IF(AND(OR(E304="met",E304="not_met"),OR(F304="met",F304="not_met")),1,0)</f>
        <v/>
      </c>
      <c r="J304" s="2">
        <f>IF(I304=1,IF(E304=F304,1,0),"")</f>
        <v/>
      </c>
      <c r="K304" s="2" t="n"/>
      <c r="L304" s="2" t="n"/>
      <c r="M304" s="2" t="n"/>
      <c r="N304" s="2">
        <f>IF(OR(K304="",H304=""),"",IF((K304="met")=(H304="met"),1,0))</f>
        <v/>
      </c>
      <c r="O304" s="2">
        <f>IF(OR(L304="",H304=""),"",IF((L304="met")=(H304="met"),1,0))</f>
        <v/>
      </c>
      <c r="P304" s="2">
        <f>IF(OR(M304="",H304=""),"",IF((M304="met")=(H304="met"),1,0))</f>
        <v/>
      </c>
    </row>
    <row r="305">
      <c r="A305" s="2" t="inlineStr">
        <is>
          <t>C08-19</t>
        </is>
      </c>
      <c r="B305" s="2">
        <f>Key!B305</f>
        <v/>
      </c>
      <c r="C305" s="2">
        <f>Key!C305</f>
        <v/>
      </c>
      <c r="D305" s="2">
        <f>IF(Key!D305="","",Key!D305)</f>
        <v/>
      </c>
      <c r="E305" s="2">
        <f>IF(Label_ChatGPT!F188="","",Label_ChatGPT!F188)</f>
        <v/>
      </c>
      <c r="F305" s="2">
        <f>IF(Label_ChatGPT!G188="","",Label_ChatGPT!G188)</f>
        <v/>
      </c>
      <c r="G305" s="5" t="n"/>
      <c r="H305" s="2">
        <f>IF(G305&lt;&gt;"",G305,IF(AND(E305&lt;&gt;"",E305=F305,E305&lt;&gt;"unsure"),E305,""))</f>
        <v/>
      </c>
      <c r="I305" s="2">
        <f>IF(AND(OR(E305="met",E305="not_met"),OR(F305="met",F305="not_met")),1,0)</f>
        <v/>
      </c>
      <c r="J305" s="2">
        <f>IF(I305=1,IF(E305=F305,1,0),"")</f>
        <v/>
      </c>
      <c r="K305" s="2" t="n"/>
      <c r="L305" s="2" t="n"/>
      <c r="M305" s="2" t="n"/>
      <c r="N305" s="2">
        <f>IF(OR(K305="",H305=""),"",IF((K305="met")=(H305="met"),1,0))</f>
        <v/>
      </c>
      <c r="O305" s="2">
        <f>IF(OR(L305="",H305=""),"",IF((L305="met")=(H305="met"),1,0))</f>
        <v/>
      </c>
      <c r="P305" s="2">
        <f>IF(OR(M305="",H305=""),"",IF((M305="met")=(H305="met"),1,0))</f>
        <v/>
      </c>
    </row>
    <row r="306">
      <c r="A306" s="2" t="inlineStr">
        <is>
          <t>C08-20</t>
        </is>
      </c>
      <c r="B306" s="2">
        <f>Key!B306</f>
        <v/>
      </c>
      <c r="C306" s="2">
        <f>Key!C306</f>
        <v/>
      </c>
      <c r="D306" s="2">
        <f>IF(Key!D306="","",Key!D306)</f>
        <v/>
      </c>
      <c r="E306" s="2">
        <f>IF(Label_ChatGPT!F189="","",Label_ChatGPT!F189)</f>
        <v/>
      </c>
      <c r="F306" s="2">
        <f>IF(Label_ChatGPT!G189="","",Label_ChatGPT!G189)</f>
        <v/>
      </c>
      <c r="G306" s="5" t="n"/>
      <c r="H306" s="2">
        <f>IF(G306&lt;&gt;"",G306,IF(AND(E306&lt;&gt;"",E306=F306,E306&lt;&gt;"unsure"),E306,""))</f>
        <v/>
      </c>
      <c r="I306" s="2">
        <f>IF(AND(OR(E306="met",E306="not_met"),OR(F306="met",F306="not_met")),1,0)</f>
        <v/>
      </c>
      <c r="J306" s="2">
        <f>IF(I306=1,IF(E306=F306,1,0),"")</f>
        <v/>
      </c>
      <c r="K306" s="2" t="n"/>
      <c r="L306" s="2" t="n"/>
      <c r="M306" s="2" t="n"/>
      <c r="N306" s="2">
        <f>IF(OR(K306="",H306=""),"",IF((K306="met")=(H306="met"),1,0))</f>
        <v/>
      </c>
      <c r="O306" s="2">
        <f>IF(OR(L306="",H306=""),"",IF((L306="met")=(H306="met"),1,0))</f>
        <v/>
      </c>
      <c r="P306" s="2">
        <f>IF(OR(M306="",H306=""),"",IF((M306="met")=(H306="met"),1,0))</f>
        <v/>
      </c>
    </row>
    <row r="307">
      <c r="A307" s="2" t="inlineStr">
        <is>
          <t>C08-21</t>
        </is>
      </c>
      <c r="B307" s="2">
        <f>Key!B307</f>
        <v/>
      </c>
      <c r="C307" s="2">
        <f>Key!C307</f>
        <v/>
      </c>
      <c r="D307" s="2">
        <f>IF(Key!D307="","",Key!D307)</f>
        <v/>
      </c>
      <c r="E307" s="2">
        <f>IF(Label_ChatGPT!F190="","",Label_ChatGPT!F190)</f>
        <v/>
      </c>
      <c r="F307" s="2">
        <f>IF(Label_ChatGPT!G190="","",Label_ChatGPT!G190)</f>
        <v/>
      </c>
      <c r="G307" s="5" t="n"/>
      <c r="H307" s="2">
        <f>IF(G307&lt;&gt;"",G307,IF(AND(E307&lt;&gt;"",E307=F307,E307&lt;&gt;"unsure"),E307,""))</f>
        <v/>
      </c>
      <c r="I307" s="2">
        <f>IF(AND(OR(E307="met",E307="not_met"),OR(F307="met",F307="not_met")),1,0)</f>
        <v/>
      </c>
      <c r="J307" s="2">
        <f>IF(I307=1,IF(E307=F307,1,0),"")</f>
        <v/>
      </c>
      <c r="K307" s="2" t="n"/>
      <c r="L307" s="2" t="n"/>
      <c r="M307" s="2" t="n"/>
      <c r="N307" s="2">
        <f>IF(OR(K307="",H307=""),"",IF((K307="met")=(H307="met"),1,0))</f>
        <v/>
      </c>
      <c r="O307" s="2">
        <f>IF(OR(L307="",H307=""),"",IF((L307="met")=(H307="met"),1,0))</f>
        <v/>
      </c>
      <c r="P307" s="2">
        <f>IF(OR(M307="",H307=""),"",IF((M307="met")=(H307="met"),1,0))</f>
        <v/>
      </c>
    </row>
    <row r="308">
      <c r="A308" s="2" t="inlineStr">
        <is>
          <t>C08-22</t>
        </is>
      </c>
      <c r="B308" s="2">
        <f>Key!B308</f>
        <v/>
      </c>
      <c r="C308" s="2">
        <f>Key!C308</f>
        <v/>
      </c>
      <c r="D308" s="2">
        <f>IF(Key!D308="","",Key!D308)</f>
        <v/>
      </c>
      <c r="E308" s="2">
        <f>IF(Label_ChatGPT!F191="","",Label_ChatGPT!F191)</f>
        <v/>
      </c>
      <c r="F308" s="2">
        <f>IF(Label_ChatGPT!G191="","",Label_ChatGPT!G191)</f>
        <v/>
      </c>
      <c r="G308" s="5" t="n"/>
      <c r="H308" s="2">
        <f>IF(G308&lt;&gt;"",G308,IF(AND(E308&lt;&gt;"",E308=F308,E308&lt;&gt;"unsure"),E308,""))</f>
        <v/>
      </c>
      <c r="I308" s="2">
        <f>IF(AND(OR(E308="met",E308="not_met"),OR(F308="met",F308="not_met")),1,0)</f>
        <v/>
      </c>
      <c r="J308" s="2">
        <f>IF(I308=1,IF(E308=F308,1,0),"")</f>
        <v/>
      </c>
      <c r="K308" s="2" t="n"/>
      <c r="L308" s="2" t="n"/>
      <c r="M308" s="2" t="n"/>
      <c r="N308" s="2">
        <f>IF(OR(K308="",H308=""),"",IF((K308="met")=(H308="met"),1,0))</f>
        <v/>
      </c>
      <c r="O308" s="2">
        <f>IF(OR(L308="",H308=""),"",IF((L308="met")=(H308="met"),1,0))</f>
        <v/>
      </c>
      <c r="P308" s="2">
        <f>IF(OR(M308="",H308=""),"",IF((M308="met")=(H308="met"),1,0))</f>
        <v/>
      </c>
    </row>
    <row r="309">
      <c r="A309" s="2" t="inlineStr">
        <is>
          <t>C08-23</t>
        </is>
      </c>
      <c r="B309" s="2">
        <f>Key!B309</f>
        <v/>
      </c>
      <c r="C309" s="2">
        <f>Key!C309</f>
        <v/>
      </c>
      <c r="D309" s="2">
        <f>IF(Key!D309="","",Key!D309)</f>
        <v/>
      </c>
      <c r="E309" s="2">
        <f>IF(Label_ChatGPT!F192="","",Label_ChatGPT!F192)</f>
        <v/>
      </c>
      <c r="F309" s="2">
        <f>IF(Label_ChatGPT!G192="","",Label_ChatGPT!G192)</f>
        <v/>
      </c>
      <c r="G309" s="5" t="n"/>
      <c r="H309" s="2">
        <f>IF(G309&lt;&gt;"",G309,IF(AND(E309&lt;&gt;"",E309=F309,E309&lt;&gt;"unsure"),E309,""))</f>
        <v/>
      </c>
      <c r="I309" s="2">
        <f>IF(AND(OR(E309="met",E309="not_met"),OR(F309="met",F309="not_met")),1,0)</f>
        <v/>
      </c>
      <c r="J309" s="2">
        <f>IF(I309=1,IF(E309=F309,1,0),"")</f>
        <v/>
      </c>
      <c r="K309" s="2" t="n"/>
      <c r="L309" s="2" t="n"/>
      <c r="M309" s="2" t="n"/>
      <c r="N309" s="2">
        <f>IF(OR(K309="",H309=""),"",IF((K309="met")=(H309="met"),1,0))</f>
        <v/>
      </c>
      <c r="O309" s="2">
        <f>IF(OR(L309="",H309=""),"",IF((L309="met")=(H309="met"),1,0))</f>
        <v/>
      </c>
      <c r="P309" s="2">
        <f>IF(OR(M309="",H309=""),"",IF((M309="met")=(H309="met"),1,0))</f>
        <v/>
      </c>
    </row>
    <row r="310">
      <c r="A310" s="2" t="inlineStr">
        <is>
          <t>C08-24</t>
        </is>
      </c>
      <c r="B310" s="2">
        <f>Key!B310</f>
        <v/>
      </c>
      <c r="C310" s="2">
        <f>Key!C310</f>
        <v/>
      </c>
      <c r="D310" s="2">
        <f>IF(Key!D310="","",Key!D310)</f>
        <v/>
      </c>
      <c r="E310" s="2">
        <f>IF(Label_ChatGPT!F193="","",Label_ChatGPT!F193)</f>
        <v/>
      </c>
      <c r="F310" s="2">
        <f>IF(Label_ChatGPT!G193="","",Label_ChatGPT!G193)</f>
        <v/>
      </c>
      <c r="G310" s="5" t="n"/>
      <c r="H310" s="2">
        <f>IF(G310&lt;&gt;"",G310,IF(AND(E310&lt;&gt;"",E310=F310,E310&lt;&gt;"unsure"),E310,""))</f>
        <v/>
      </c>
      <c r="I310" s="2">
        <f>IF(AND(OR(E310="met",E310="not_met"),OR(F310="met",F310="not_met")),1,0)</f>
        <v/>
      </c>
      <c r="J310" s="2">
        <f>IF(I310=1,IF(E310=F310,1,0),"")</f>
        <v/>
      </c>
      <c r="K310" s="2" t="n"/>
      <c r="L310" s="2" t="n"/>
      <c r="M310" s="2" t="n"/>
      <c r="N310" s="2">
        <f>IF(OR(K310="",H310=""),"",IF((K310="met")=(H310="met"),1,0))</f>
        <v/>
      </c>
      <c r="O310" s="2">
        <f>IF(OR(L310="",H310=""),"",IF((L310="met")=(H310="met"),1,0))</f>
        <v/>
      </c>
      <c r="P310" s="2">
        <f>IF(OR(M310="",H310=""),"",IF((M310="met")=(H310="met"),1,0))</f>
        <v/>
      </c>
    </row>
    <row r="311">
      <c r="A311" s="2" t="inlineStr">
        <is>
          <t>C09-01</t>
        </is>
      </c>
      <c r="B311" s="2">
        <f>Key!B311</f>
        <v/>
      </c>
      <c r="C311" s="2">
        <f>Key!C311</f>
        <v/>
      </c>
      <c r="D311" s="2">
        <f>IF(Key!D311="","",Key!D311)</f>
        <v/>
      </c>
      <c r="E311" s="2">
        <f>IF(Label_ChatGPT!F194="","",Label_ChatGPT!F194)</f>
        <v/>
      </c>
      <c r="F311" s="2">
        <f>IF(Label_ChatGPT!G194="","",Label_ChatGPT!G194)</f>
        <v/>
      </c>
      <c r="G311" s="5" t="n"/>
      <c r="H311" s="2">
        <f>IF(G311&lt;&gt;"",G311,IF(AND(E311&lt;&gt;"",E311=F311,E311&lt;&gt;"unsure"),E311,""))</f>
        <v/>
      </c>
      <c r="I311" s="2">
        <f>IF(AND(OR(E311="met",E311="not_met"),OR(F311="met",F311="not_met")),1,0)</f>
        <v/>
      </c>
      <c r="J311" s="2">
        <f>IF(I311=1,IF(E311=F311,1,0),"")</f>
        <v/>
      </c>
      <c r="K311" s="2" t="n"/>
      <c r="L311" s="2" t="n"/>
      <c r="M311" s="2" t="n"/>
      <c r="N311" s="2">
        <f>IF(OR(K311="",H311=""),"",IF((K311="met")=(H311="met"),1,0))</f>
        <v/>
      </c>
      <c r="O311" s="2">
        <f>IF(OR(L311="",H311=""),"",IF((L311="met")=(H311="met"),1,0))</f>
        <v/>
      </c>
      <c r="P311" s="2">
        <f>IF(OR(M311="",H311=""),"",IF((M311="met")=(H311="met"),1,0))</f>
        <v/>
      </c>
    </row>
    <row r="312">
      <c r="A312" s="2" t="inlineStr">
        <is>
          <t>C09-02</t>
        </is>
      </c>
      <c r="B312" s="2">
        <f>Key!B312</f>
        <v/>
      </c>
      <c r="C312" s="2">
        <f>Key!C312</f>
        <v/>
      </c>
      <c r="D312" s="2">
        <f>IF(Key!D312="","",Key!D312)</f>
        <v/>
      </c>
      <c r="E312" s="2">
        <f>IF(Label_ChatGPT!F195="","",Label_ChatGPT!F195)</f>
        <v/>
      </c>
      <c r="F312" s="2">
        <f>IF(Label_ChatGPT!G195="","",Label_ChatGPT!G195)</f>
        <v/>
      </c>
      <c r="G312" s="5" t="n"/>
      <c r="H312" s="2">
        <f>IF(G312&lt;&gt;"",G312,IF(AND(E312&lt;&gt;"",E312=F312,E312&lt;&gt;"unsure"),E312,""))</f>
        <v/>
      </c>
      <c r="I312" s="2">
        <f>IF(AND(OR(E312="met",E312="not_met"),OR(F312="met",F312="not_met")),1,0)</f>
        <v/>
      </c>
      <c r="J312" s="2">
        <f>IF(I312=1,IF(E312=F312,1,0),"")</f>
        <v/>
      </c>
      <c r="K312" s="2" t="n"/>
      <c r="L312" s="2" t="n"/>
      <c r="M312" s="2" t="n"/>
      <c r="N312" s="2">
        <f>IF(OR(K312="",H312=""),"",IF((K312="met")=(H312="met"),1,0))</f>
        <v/>
      </c>
      <c r="O312" s="2">
        <f>IF(OR(L312="",H312=""),"",IF((L312="met")=(H312="met"),1,0))</f>
        <v/>
      </c>
      <c r="P312" s="2">
        <f>IF(OR(M312="",H312=""),"",IF((M312="met")=(H312="met"),1,0))</f>
        <v/>
      </c>
    </row>
    <row r="313">
      <c r="A313" s="2" t="inlineStr">
        <is>
          <t>C09-03</t>
        </is>
      </c>
      <c r="B313" s="2">
        <f>Key!B313</f>
        <v/>
      </c>
      <c r="C313" s="2">
        <f>Key!C313</f>
        <v/>
      </c>
      <c r="D313" s="2">
        <f>IF(Key!D313="","",Key!D313)</f>
        <v/>
      </c>
      <c r="E313" s="2">
        <f>IF(Label_ChatGPT!F196="","",Label_ChatGPT!F196)</f>
        <v/>
      </c>
      <c r="F313" s="2">
        <f>IF(Label_ChatGPT!G196="","",Label_ChatGPT!G196)</f>
        <v/>
      </c>
      <c r="G313" s="5" t="n"/>
      <c r="H313" s="2">
        <f>IF(G313&lt;&gt;"",G313,IF(AND(E313&lt;&gt;"",E313=F313,E313&lt;&gt;"unsure"),E313,""))</f>
        <v/>
      </c>
      <c r="I313" s="2">
        <f>IF(AND(OR(E313="met",E313="not_met"),OR(F313="met",F313="not_met")),1,0)</f>
        <v/>
      </c>
      <c r="J313" s="2">
        <f>IF(I313=1,IF(E313=F313,1,0),"")</f>
        <v/>
      </c>
      <c r="K313" s="2" t="n"/>
      <c r="L313" s="2" t="n"/>
      <c r="M313" s="2" t="n"/>
      <c r="N313" s="2">
        <f>IF(OR(K313="",H313=""),"",IF((K313="met")=(H313="met"),1,0))</f>
        <v/>
      </c>
      <c r="O313" s="2">
        <f>IF(OR(L313="",H313=""),"",IF((L313="met")=(H313="met"),1,0))</f>
        <v/>
      </c>
      <c r="P313" s="2">
        <f>IF(OR(M313="",H313=""),"",IF((M313="met")=(H313="met"),1,0))</f>
        <v/>
      </c>
    </row>
    <row r="314">
      <c r="A314" s="2" t="inlineStr">
        <is>
          <t>C09-04</t>
        </is>
      </c>
      <c r="B314" s="2">
        <f>Key!B314</f>
        <v/>
      </c>
      <c r="C314" s="2">
        <f>Key!C314</f>
        <v/>
      </c>
      <c r="D314" s="2">
        <f>IF(Key!D314="","",Key!D314)</f>
        <v/>
      </c>
      <c r="E314" s="2">
        <f>IF(Label_ChatGPT!F197="","",Label_ChatGPT!F197)</f>
        <v/>
      </c>
      <c r="F314" s="2">
        <f>IF(Label_ChatGPT!G197="","",Label_ChatGPT!G197)</f>
        <v/>
      </c>
      <c r="G314" s="5" t="n"/>
      <c r="H314" s="2">
        <f>IF(G314&lt;&gt;"",G314,IF(AND(E314&lt;&gt;"",E314=F314,E314&lt;&gt;"unsure"),E314,""))</f>
        <v/>
      </c>
      <c r="I314" s="2">
        <f>IF(AND(OR(E314="met",E314="not_met"),OR(F314="met",F314="not_met")),1,0)</f>
        <v/>
      </c>
      <c r="J314" s="2">
        <f>IF(I314=1,IF(E314=F314,1,0),"")</f>
        <v/>
      </c>
      <c r="K314" s="2" t="n"/>
      <c r="L314" s="2" t="n"/>
      <c r="M314" s="2" t="n"/>
      <c r="N314" s="2">
        <f>IF(OR(K314="",H314=""),"",IF((K314="met")=(H314="met"),1,0))</f>
        <v/>
      </c>
      <c r="O314" s="2">
        <f>IF(OR(L314="",H314=""),"",IF((L314="met")=(H314="met"),1,0))</f>
        <v/>
      </c>
      <c r="P314" s="2">
        <f>IF(OR(M314="",H314=""),"",IF((M314="met")=(H314="met"),1,0))</f>
        <v/>
      </c>
    </row>
    <row r="315">
      <c r="A315" s="2" t="inlineStr">
        <is>
          <t>C09-05</t>
        </is>
      </c>
      <c r="B315" s="2">
        <f>Key!B315</f>
        <v/>
      </c>
      <c r="C315" s="2">
        <f>Key!C315</f>
        <v/>
      </c>
      <c r="D315" s="2">
        <f>IF(Key!D315="","",Key!D315)</f>
        <v/>
      </c>
      <c r="E315" s="2">
        <f>IF(Label_ChatGPT!F198="","",Label_ChatGPT!F198)</f>
        <v/>
      </c>
      <c r="F315" s="2">
        <f>IF(Label_ChatGPT!G198="","",Label_ChatGPT!G198)</f>
        <v/>
      </c>
      <c r="G315" s="5" t="n"/>
      <c r="H315" s="2">
        <f>IF(G315&lt;&gt;"",G315,IF(AND(E315&lt;&gt;"",E315=F315,E315&lt;&gt;"unsure"),E315,""))</f>
        <v/>
      </c>
      <c r="I315" s="2">
        <f>IF(AND(OR(E315="met",E315="not_met"),OR(F315="met",F315="not_met")),1,0)</f>
        <v/>
      </c>
      <c r="J315" s="2">
        <f>IF(I315=1,IF(E315=F315,1,0),"")</f>
        <v/>
      </c>
      <c r="K315" s="2" t="n"/>
      <c r="L315" s="2" t="n"/>
      <c r="M315" s="2" t="n"/>
      <c r="N315" s="2">
        <f>IF(OR(K315="",H315=""),"",IF((K315="met")=(H315="met"),1,0))</f>
        <v/>
      </c>
      <c r="O315" s="2">
        <f>IF(OR(L315="",H315=""),"",IF((L315="met")=(H315="met"),1,0))</f>
        <v/>
      </c>
      <c r="P315" s="2">
        <f>IF(OR(M315="",H315=""),"",IF((M315="met")=(H315="met"),1,0))</f>
        <v/>
      </c>
    </row>
    <row r="316">
      <c r="A316" s="2" t="inlineStr">
        <is>
          <t>C09-06</t>
        </is>
      </c>
      <c r="B316" s="2">
        <f>Key!B316</f>
        <v/>
      </c>
      <c r="C316" s="2">
        <f>Key!C316</f>
        <v/>
      </c>
      <c r="D316" s="2">
        <f>IF(Key!D316="","",Key!D316)</f>
        <v/>
      </c>
      <c r="E316" s="2">
        <f>IF(Label_ChatGPT!F199="","",Label_ChatGPT!F199)</f>
        <v/>
      </c>
      <c r="F316" s="2">
        <f>IF(Label_ChatGPT!G199="","",Label_ChatGPT!G199)</f>
        <v/>
      </c>
      <c r="G316" s="5" t="n"/>
      <c r="H316" s="2">
        <f>IF(G316&lt;&gt;"",G316,IF(AND(E316&lt;&gt;"",E316=F316,E316&lt;&gt;"unsure"),E316,""))</f>
        <v/>
      </c>
      <c r="I316" s="2">
        <f>IF(AND(OR(E316="met",E316="not_met"),OR(F316="met",F316="not_met")),1,0)</f>
        <v/>
      </c>
      <c r="J316" s="2">
        <f>IF(I316=1,IF(E316=F316,1,0),"")</f>
        <v/>
      </c>
      <c r="K316" s="2" t="n"/>
      <c r="L316" s="2" t="n"/>
      <c r="M316" s="2" t="n"/>
      <c r="N316" s="2">
        <f>IF(OR(K316="",H316=""),"",IF((K316="met")=(H316="met"),1,0))</f>
        <v/>
      </c>
      <c r="O316" s="2">
        <f>IF(OR(L316="",H316=""),"",IF((L316="met")=(H316="met"),1,0))</f>
        <v/>
      </c>
      <c r="P316" s="2">
        <f>IF(OR(M316="",H316=""),"",IF((M316="met")=(H316="met"),1,0))</f>
        <v/>
      </c>
    </row>
    <row r="317">
      <c r="A317" s="2" t="inlineStr">
        <is>
          <t>C09-07</t>
        </is>
      </c>
      <c r="B317" s="2">
        <f>Key!B317</f>
        <v/>
      </c>
      <c r="C317" s="2">
        <f>Key!C317</f>
        <v/>
      </c>
      <c r="D317" s="2">
        <f>IF(Key!D317="","",Key!D317)</f>
        <v/>
      </c>
      <c r="E317" s="2">
        <f>IF(Label_ChatGPT!F200="","",Label_ChatGPT!F200)</f>
        <v/>
      </c>
      <c r="F317" s="2">
        <f>IF(Label_ChatGPT!G200="","",Label_ChatGPT!G200)</f>
        <v/>
      </c>
      <c r="G317" s="5" t="n"/>
      <c r="H317" s="2">
        <f>IF(G317&lt;&gt;"",G317,IF(AND(E317&lt;&gt;"",E317=F317,E317&lt;&gt;"unsure"),E317,""))</f>
        <v/>
      </c>
      <c r="I317" s="2">
        <f>IF(AND(OR(E317="met",E317="not_met"),OR(F317="met",F317="not_met")),1,0)</f>
        <v/>
      </c>
      <c r="J317" s="2">
        <f>IF(I317=1,IF(E317=F317,1,0),"")</f>
        <v/>
      </c>
      <c r="K317" s="2" t="n"/>
      <c r="L317" s="2" t="n"/>
      <c r="M317" s="2" t="n"/>
      <c r="N317" s="2">
        <f>IF(OR(K317="",H317=""),"",IF((K317="met")=(H317="met"),1,0))</f>
        <v/>
      </c>
      <c r="O317" s="2">
        <f>IF(OR(L317="",H317=""),"",IF((L317="met")=(H317="met"),1,0))</f>
        <v/>
      </c>
      <c r="P317" s="2">
        <f>IF(OR(M317="",H317=""),"",IF((M317="met")=(H317="met"),1,0))</f>
        <v/>
      </c>
    </row>
    <row r="318">
      <c r="A318" s="2" t="inlineStr">
        <is>
          <t>C09-08</t>
        </is>
      </c>
      <c r="B318" s="2">
        <f>Key!B318</f>
        <v/>
      </c>
      <c r="C318" s="2">
        <f>Key!C318</f>
        <v/>
      </c>
      <c r="D318" s="2">
        <f>IF(Key!D318="","",Key!D318)</f>
        <v/>
      </c>
      <c r="E318" s="2">
        <f>IF(Label_ChatGPT!F201="","",Label_ChatGPT!F201)</f>
        <v/>
      </c>
      <c r="F318" s="2">
        <f>IF(Label_ChatGPT!G201="","",Label_ChatGPT!G201)</f>
        <v/>
      </c>
      <c r="G318" s="5" t="n"/>
      <c r="H318" s="2">
        <f>IF(G318&lt;&gt;"",G318,IF(AND(E318&lt;&gt;"",E318=F318,E318&lt;&gt;"unsure"),E318,""))</f>
        <v/>
      </c>
      <c r="I318" s="2">
        <f>IF(AND(OR(E318="met",E318="not_met"),OR(F318="met",F318="not_met")),1,0)</f>
        <v/>
      </c>
      <c r="J318" s="2">
        <f>IF(I318=1,IF(E318=F318,1,0),"")</f>
        <v/>
      </c>
      <c r="K318" s="2" t="n"/>
      <c r="L318" s="2" t="n"/>
      <c r="M318" s="2" t="n"/>
      <c r="N318" s="2">
        <f>IF(OR(K318="",H318=""),"",IF((K318="met")=(H318="met"),1,0))</f>
        <v/>
      </c>
      <c r="O318" s="2">
        <f>IF(OR(L318="",H318=""),"",IF((L318="met")=(H318="met"),1,0))</f>
        <v/>
      </c>
      <c r="P318" s="2">
        <f>IF(OR(M318="",H318=""),"",IF((M318="met")=(H318="met"),1,0))</f>
        <v/>
      </c>
    </row>
    <row r="319">
      <c r="A319" s="2" t="inlineStr">
        <is>
          <t>C09-09</t>
        </is>
      </c>
      <c r="B319" s="2">
        <f>Key!B319</f>
        <v/>
      </c>
      <c r="C319" s="2">
        <f>Key!C319</f>
        <v/>
      </c>
      <c r="D319" s="2">
        <f>IF(Key!D319="","",Key!D319)</f>
        <v/>
      </c>
      <c r="E319" s="2">
        <f>IF(Label_ChatGPT!F202="","",Label_ChatGPT!F202)</f>
        <v/>
      </c>
      <c r="F319" s="2">
        <f>IF(Label_ChatGPT!G202="","",Label_ChatGPT!G202)</f>
        <v/>
      </c>
      <c r="G319" s="5" t="n"/>
      <c r="H319" s="2">
        <f>IF(G319&lt;&gt;"",G319,IF(AND(E319&lt;&gt;"",E319=F319,E319&lt;&gt;"unsure"),E319,""))</f>
        <v/>
      </c>
      <c r="I319" s="2">
        <f>IF(AND(OR(E319="met",E319="not_met"),OR(F319="met",F319="not_met")),1,0)</f>
        <v/>
      </c>
      <c r="J319" s="2">
        <f>IF(I319=1,IF(E319=F319,1,0),"")</f>
        <v/>
      </c>
      <c r="K319" s="2" t="n"/>
      <c r="L319" s="2" t="n"/>
      <c r="M319" s="2" t="n"/>
      <c r="N319" s="2">
        <f>IF(OR(K319="",H319=""),"",IF((K319="met")=(H319="met"),1,0))</f>
        <v/>
      </c>
      <c r="O319" s="2">
        <f>IF(OR(L319="",H319=""),"",IF((L319="met")=(H319="met"),1,0))</f>
        <v/>
      </c>
      <c r="P319" s="2">
        <f>IF(OR(M319="",H319=""),"",IF((M319="met")=(H319="met"),1,0))</f>
        <v/>
      </c>
    </row>
    <row r="320">
      <c r="A320" s="2" t="inlineStr">
        <is>
          <t>C09-10</t>
        </is>
      </c>
      <c r="B320" s="2">
        <f>Key!B320</f>
        <v/>
      </c>
      <c r="C320" s="2">
        <f>Key!C320</f>
        <v/>
      </c>
      <c r="D320" s="2">
        <f>IF(Key!D320="","",Key!D320)</f>
        <v/>
      </c>
      <c r="E320" s="2">
        <f>IF(Label_ChatGPT!F203="","",Label_ChatGPT!F203)</f>
        <v/>
      </c>
      <c r="F320" s="2">
        <f>IF(Label_ChatGPT!G203="","",Label_ChatGPT!G203)</f>
        <v/>
      </c>
      <c r="G320" s="5" t="n"/>
      <c r="H320" s="2">
        <f>IF(G320&lt;&gt;"",G320,IF(AND(E320&lt;&gt;"",E320=F320,E320&lt;&gt;"unsure"),E320,""))</f>
        <v/>
      </c>
      <c r="I320" s="2">
        <f>IF(AND(OR(E320="met",E320="not_met"),OR(F320="met",F320="not_met")),1,0)</f>
        <v/>
      </c>
      <c r="J320" s="2">
        <f>IF(I320=1,IF(E320=F320,1,0),"")</f>
        <v/>
      </c>
      <c r="K320" s="2" t="n"/>
      <c r="L320" s="2" t="n"/>
      <c r="M320" s="2" t="n"/>
      <c r="N320" s="2">
        <f>IF(OR(K320="",H320=""),"",IF((K320="met")=(H320="met"),1,0))</f>
        <v/>
      </c>
      <c r="O320" s="2">
        <f>IF(OR(L320="",H320=""),"",IF((L320="met")=(H320="met"),1,0))</f>
        <v/>
      </c>
      <c r="P320" s="2">
        <f>IF(OR(M320="",H320=""),"",IF((M320="met")=(H320="met"),1,0))</f>
        <v/>
      </c>
    </row>
    <row r="321">
      <c r="A321" s="2" t="inlineStr">
        <is>
          <t>C09-11</t>
        </is>
      </c>
      <c r="B321" s="2">
        <f>Key!B321</f>
        <v/>
      </c>
      <c r="C321" s="2">
        <f>Key!C321</f>
        <v/>
      </c>
      <c r="D321" s="2">
        <f>IF(Key!D321="","",Key!D321)</f>
        <v/>
      </c>
      <c r="E321" s="2">
        <f>IF(Label_ChatGPT!F204="","",Label_ChatGPT!F204)</f>
        <v/>
      </c>
      <c r="F321" s="2">
        <f>IF(Label_ChatGPT!G204="","",Label_ChatGPT!G204)</f>
        <v/>
      </c>
      <c r="G321" s="5" t="n"/>
      <c r="H321" s="2">
        <f>IF(G321&lt;&gt;"",G321,IF(AND(E321&lt;&gt;"",E321=F321,E321&lt;&gt;"unsure"),E321,""))</f>
        <v/>
      </c>
      <c r="I321" s="2">
        <f>IF(AND(OR(E321="met",E321="not_met"),OR(F321="met",F321="not_met")),1,0)</f>
        <v/>
      </c>
      <c r="J321" s="2">
        <f>IF(I321=1,IF(E321=F321,1,0),"")</f>
        <v/>
      </c>
      <c r="K321" s="2" t="n"/>
      <c r="L321" s="2" t="n"/>
      <c r="M321" s="2" t="n"/>
      <c r="N321" s="2">
        <f>IF(OR(K321="",H321=""),"",IF((K321="met")=(H321="met"),1,0))</f>
        <v/>
      </c>
      <c r="O321" s="2">
        <f>IF(OR(L321="",H321=""),"",IF((L321="met")=(H321="met"),1,0))</f>
        <v/>
      </c>
      <c r="P321" s="2">
        <f>IF(OR(M321="",H321=""),"",IF((M321="met")=(H321="met"),1,0))</f>
        <v/>
      </c>
    </row>
    <row r="322">
      <c r="A322" s="2" t="inlineStr">
        <is>
          <t>C09-12</t>
        </is>
      </c>
      <c r="B322" s="2">
        <f>Key!B322</f>
        <v/>
      </c>
      <c r="C322" s="2">
        <f>Key!C322</f>
        <v/>
      </c>
      <c r="D322" s="2">
        <f>IF(Key!D322="","",Key!D322)</f>
        <v/>
      </c>
      <c r="E322" s="2">
        <f>IF(Label_ChatGPT!F205="","",Label_ChatGPT!F205)</f>
        <v/>
      </c>
      <c r="F322" s="2">
        <f>IF(Label_ChatGPT!G205="","",Label_ChatGPT!G205)</f>
        <v/>
      </c>
      <c r="G322" s="5" t="n"/>
      <c r="H322" s="2">
        <f>IF(G322&lt;&gt;"",G322,IF(AND(E322&lt;&gt;"",E322=F322,E322&lt;&gt;"unsure"),E322,""))</f>
        <v/>
      </c>
      <c r="I322" s="2">
        <f>IF(AND(OR(E322="met",E322="not_met"),OR(F322="met",F322="not_met")),1,0)</f>
        <v/>
      </c>
      <c r="J322" s="2">
        <f>IF(I322=1,IF(E322=F322,1,0),"")</f>
        <v/>
      </c>
      <c r="K322" s="2" t="n"/>
      <c r="L322" s="2" t="n"/>
      <c r="M322" s="2" t="n"/>
      <c r="N322" s="2">
        <f>IF(OR(K322="",H322=""),"",IF((K322="met")=(H322="met"),1,0))</f>
        <v/>
      </c>
      <c r="O322" s="2">
        <f>IF(OR(L322="",H322=""),"",IF((L322="met")=(H322="met"),1,0))</f>
        <v/>
      </c>
      <c r="P322" s="2">
        <f>IF(OR(M322="",H322=""),"",IF((M322="met")=(H322="met"),1,0))</f>
        <v/>
      </c>
    </row>
    <row r="323">
      <c r="A323" s="2" t="inlineStr">
        <is>
          <t>C09-13</t>
        </is>
      </c>
      <c r="B323" s="2">
        <f>Key!B323</f>
        <v/>
      </c>
      <c r="C323" s="2">
        <f>Key!C323</f>
        <v/>
      </c>
      <c r="D323" s="2">
        <f>IF(Key!D323="","",Key!D323)</f>
        <v/>
      </c>
      <c r="E323" s="2">
        <f>IF(Label_ChatGPT!F206="","",Label_ChatGPT!F206)</f>
        <v/>
      </c>
      <c r="F323" s="2">
        <f>IF(Label_ChatGPT!G206="","",Label_ChatGPT!G206)</f>
        <v/>
      </c>
      <c r="G323" s="5" t="n"/>
      <c r="H323" s="2">
        <f>IF(G323&lt;&gt;"",G323,IF(AND(E323&lt;&gt;"",E323=F323,E323&lt;&gt;"unsure"),E323,""))</f>
        <v/>
      </c>
      <c r="I323" s="2">
        <f>IF(AND(OR(E323="met",E323="not_met"),OR(F323="met",F323="not_met")),1,0)</f>
        <v/>
      </c>
      <c r="J323" s="2">
        <f>IF(I323=1,IF(E323=F323,1,0),"")</f>
        <v/>
      </c>
      <c r="K323" s="2" t="n"/>
      <c r="L323" s="2" t="n"/>
      <c r="M323" s="2" t="n"/>
      <c r="N323" s="2">
        <f>IF(OR(K323="",H323=""),"",IF((K323="met")=(H323="met"),1,0))</f>
        <v/>
      </c>
      <c r="O323" s="2">
        <f>IF(OR(L323="",H323=""),"",IF((L323="met")=(H323="met"),1,0))</f>
        <v/>
      </c>
      <c r="P323" s="2">
        <f>IF(OR(M323="",H323=""),"",IF((M323="met")=(H323="met"),1,0))</f>
        <v/>
      </c>
    </row>
    <row r="324">
      <c r="A324" s="2" t="inlineStr">
        <is>
          <t>C09-14</t>
        </is>
      </c>
      <c r="B324" s="2">
        <f>Key!B324</f>
        <v/>
      </c>
      <c r="C324" s="2">
        <f>Key!C324</f>
        <v/>
      </c>
      <c r="D324" s="2">
        <f>IF(Key!D324="","",Key!D324)</f>
        <v/>
      </c>
      <c r="E324" s="2">
        <f>IF(Label_ChatGPT!F207="","",Label_ChatGPT!F207)</f>
        <v/>
      </c>
      <c r="F324" s="2">
        <f>IF(Label_ChatGPT!G207="","",Label_ChatGPT!G207)</f>
        <v/>
      </c>
      <c r="G324" s="5" t="n"/>
      <c r="H324" s="2">
        <f>IF(G324&lt;&gt;"",G324,IF(AND(E324&lt;&gt;"",E324=F324,E324&lt;&gt;"unsure"),E324,""))</f>
        <v/>
      </c>
      <c r="I324" s="2">
        <f>IF(AND(OR(E324="met",E324="not_met"),OR(F324="met",F324="not_met")),1,0)</f>
        <v/>
      </c>
      <c r="J324" s="2">
        <f>IF(I324=1,IF(E324=F324,1,0),"")</f>
        <v/>
      </c>
      <c r="K324" s="2" t="n"/>
      <c r="L324" s="2" t="n"/>
      <c r="M324" s="2" t="n"/>
      <c r="N324" s="2">
        <f>IF(OR(K324="",H324=""),"",IF((K324="met")=(H324="met"),1,0))</f>
        <v/>
      </c>
      <c r="O324" s="2">
        <f>IF(OR(L324="",H324=""),"",IF((L324="met")=(H324="met"),1,0))</f>
        <v/>
      </c>
      <c r="P324" s="2">
        <f>IF(OR(M324="",H324=""),"",IF((M324="met")=(H324="met"),1,0))</f>
        <v/>
      </c>
    </row>
    <row r="325">
      <c r="A325" s="2" t="inlineStr">
        <is>
          <t>C09-15</t>
        </is>
      </c>
      <c r="B325" s="2">
        <f>Key!B325</f>
        <v/>
      </c>
      <c r="C325" s="2">
        <f>Key!C325</f>
        <v/>
      </c>
      <c r="D325" s="2">
        <f>IF(Key!D325="","",Key!D325)</f>
        <v/>
      </c>
      <c r="E325" s="2">
        <f>IF(Label_ChatGPT!F208="","",Label_ChatGPT!F208)</f>
        <v/>
      </c>
      <c r="F325" s="2">
        <f>IF(Label_ChatGPT!G208="","",Label_ChatGPT!G208)</f>
        <v/>
      </c>
      <c r="G325" s="5" t="n"/>
      <c r="H325" s="2">
        <f>IF(G325&lt;&gt;"",G325,IF(AND(E325&lt;&gt;"",E325=F325,E325&lt;&gt;"unsure"),E325,""))</f>
        <v/>
      </c>
      <c r="I325" s="2">
        <f>IF(AND(OR(E325="met",E325="not_met"),OR(F325="met",F325="not_met")),1,0)</f>
        <v/>
      </c>
      <c r="J325" s="2">
        <f>IF(I325=1,IF(E325=F325,1,0),"")</f>
        <v/>
      </c>
      <c r="K325" s="2" t="n"/>
      <c r="L325" s="2" t="n"/>
      <c r="M325" s="2" t="n"/>
      <c r="N325" s="2">
        <f>IF(OR(K325="",H325=""),"",IF((K325="met")=(H325="met"),1,0))</f>
        <v/>
      </c>
      <c r="O325" s="2">
        <f>IF(OR(L325="",H325=""),"",IF((L325="met")=(H325="met"),1,0))</f>
        <v/>
      </c>
      <c r="P325" s="2">
        <f>IF(OR(M325="",H325=""),"",IF((M325="met")=(H325="met"),1,0))</f>
        <v/>
      </c>
    </row>
    <row r="326">
      <c r="A326" s="2" t="inlineStr">
        <is>
          <t>C09-16</t>
        </is>
      </c>
      <c r="B326" s="2">
        <f>Key!B326</f>
        <v/>
      </c>
      <c r="C326" s="2">
        <f>Key!C326</f>
        <v/>
      </c>
      <c r="D326" s="2">
        <f>IF(Key!D326="","",Key!D326)</f>
        <v/>
      </c>
      <c r="E326" s="2">
        <f>IF(Label_ChatGPT!F209="","",Label_ChatGPT!F209)</f>
        <v/>
      </c>
      <c r="F326" s="2">
        <f>IF(Label_ChatGPT!G209="","",Label_ChatGPT!G209)</f>
        <v/>
      </c>
      <c r="G326" s="5" t="n"/>
      <c r="H326" s="2">
        <f>IF(G326&lt;&gt;"",G326,IF(AND(E326&lt;&gt;"",E326=F326,E326&lt;&gt;"unsure"),E326,""))</f>
        <v/>
      </c>
      <c r="I326" s="2">
        <f>IF(AND(OR(E326="met",E326="not_met"),OR(F326="met",F326="not_met")),1,0)</f>
        <v/>
      </c>
      <c r="J326" s="2">
        <f>IF(I326=1,IF(E326=F326,1,0),"")</f>
        <v/>
      </c>
      <c r="K326" s="2" t="n"/>
      <c r="L326" s="2" t="n"/>
      <c r="M326" s="2" t="n"/>
      <c r="N326" s="2">
        <f>IF(OR(K326="",H326=""),"",IF((K326="met")=(H326="met"),1,0))</f>
        <v/>
      </c>
      <c r="O326" s="2">
        <f>IF(OR(L326="",H326=""),"",IF((L326="met")=(H326="met"),1,0))</f>
        <v/>
      </c>
      <c r="P326" s="2">
        <f>IF(OR(M326="",H326=""),"",IF((M326="met")=(H326="met"),1,0))</f>
        <v/>
      </c>
    </row>
    <row r="327">
      <c r="A327" s="2" t="inlineStr">
        <is>
          <t>C09-17</t>
        </is>
      </c>
      <c r="B327" s="2">
        <f>Key!B327</f>
        <v/>
      </c>
      <c r="C327" s="2">
        <f>Key!C327</f>
        <v/>
      </c>
      <c r="D327" s="2">
        <f>IF(Key!D327="","",Key!D327)</f>
        <v/>
      </c>
      <c r="E327" s="2">
        <f>IF(Label_ChatGPT!F210="","",Label_ChatGPT!F210)</f>
        <v/>
      </c>
      <c r="F327" s="2">
        <f>IF(Label_ChatGPT!G210="","",Label_ChatGPT!G210)</f>
        <v/>
      </c>
      <c r="G327" s="5" t="n"/>
      <c r="H327" s="2">
        <f>IF(G327&lt;&gt;"",G327,IF(AND(E327&lt;&gt;"",E327=F327,E327&lt;&gt;"unsure"),E327,""))</f>
        <v/>
      </c>
      <c r="I327" s="2">
        <f>IF(AND(OR(E327="met",E327="not_met"),OR(F327="met",F327="not_met")),1,0)</f>
        <v/>
      </c>
      <c r="J327" s="2">
        <f>IF(I327=1,IF(E327=F327,1,0),"")</f>
        <v/>
      </c>
      <c r="K327" s="2" t="n"/>
      <c r="L327" s="2" t="n"/>
      <c r="M327" s="2" t="n"/>
      <c r="N327" s="2">
        <f>IF(OR(K327="",H327=""),"",IF((K327="met")=(H327="met"),1,0))</f>
        <v/>
      </c>
      <c r="O327" s="2">
        <f>IF(OR(L327="",H327=""),"",IF((L327="met")=(H327="met"),1,0))</f>
        <v/>
      </c>
      <c r="P327" s="2">
        <f>IF(OR(M327="",H327=""),"",IF((M327="met")=(H327="met"),1,0))</f>
        <v/>
      </c>
    </row>
    <row r="328">
      <c r="A328" s="2" t="inlineStr">
        <is>
          <t>C09-18</t>
        </is>
      </c>
      <c r="B328" s="2">
        <f>Key!B328</f>
        <v/>
      </c>
      <c r="C328" s="2">
        <f>Key!C328</f>
        <v/>
      </c>
      <c r="D328" s="2">
        <f>IF(Key!D328="","",Key!D328)</f>
        <v/>
      </c>
      <c r="E328" s="2">
        <f>IF(Label_ChatGPT!F211="","",Label_ChatGPT!F211)</f>
        <v/>
      </c>
      <c r="F328" s="2">
        <f>IF(Label_ChatGPT!G211="","",Label_ChatGPT!G211)</f>
        <v/>
      </c>
      <c r="G328" s="5" t="n"/>
      <c r="H328" s="2">
        <f>IF(G328&lt;&gt;"",G328,IF(AND(E328&lt;&gt;"",E328=F328,E328&lt;&gt;"unsure"),E328,""))</f>
        <v/>
      </c>
      <c r="I328" s="2">
        <f>IF(AND(OR(E328="met",E328="not_met"),OR(F328="met",F328="not_met")),1,0)</f>
        <v/>
      </c>
      <c r="J328" s="2">
        <f>IF(I328=1,IF(E328=F328,1,0),"")</f>
        <v/>
      </c>
      <c r="K328" s="2" t="n"/>
      <c r="L328" s="2" t="n"/>
      <c r="M328" s="2" t="n"/>
      <c r="N328" s="2">
        <f>IF(OR(K328="",H328=""),"",IF((K328="met")=(H328="met"),1,0))</f>
        <v/>
      </c>
      <c r="O328" s="2">
        <f>IF(OR(L328="",H328=""),"",IF((L328="met")=(H328="met"),1,0))</f>
        <v/>
      </c>
      <c r="P328" s="2">
        <f>IF(OR(M328="",H328=""),"",IF((M328="met")=(H328="met"),1,0))</f>
        <v/>
      </c>
    </row>
    <row r="329">
      <c r="A329" s="2" t="inlineStr">
        <is>
          <t>C09-19</t>
        </is>
      </c>
      <c r="B329" s="2">
        <f>Key!B329</f>
        <v/>
      </c>
      <c r="C329" s="2">
        <f>Key!C329</f>
        <v/>
      </c>
      <c r="D329" s="2">
        <f>IF(Key!D329="","",Key!D329)</f>
        <v/>
      </c>
      <c r="E329" s="2">
        <f>IF(Label_ChatGPT!F212="","",Label_ChatGPT!F212)</f>
        <v/>
      </c>
      <c r="F329" s="2">
        <f>IF(Label_ChatGPT!G212="","",Label_ChatGPT!G212)</f>
        <v/>
      </c>
      <c r="G329" s="5" t="n"/>
      <c r="H329" s="2">
        <f>IF(G329&lt;&gt;"",G329,IF(AND(E329&lt;&gt;"",E329=F329,E329&lt;&gt;"unsure"),E329,""))</f>
        <v/>
      </c>
      <c r="I329" s="2">
        <f>IF(AND(OR(E329="met",E329="not_met"),OR(F329="met",F329="not_met")),1,0)</f>
        <v/>
      </c>
      <c r="J329" s="2">
        <f>IF(I329=1,IF(E329=F329,1,0),"")</f>
        <v/>
      </c>
      <c r="K329" s="2" t="n"/>
      <c r="L329" s="2" t="n"/>
      <c r="M329" s="2" t="n"/>
      <c r="N329" s="2">
        <f>IF(OR(K329="",H329=""),"",IF((K329="met")=(H329="met"),1,0))</f>
        <v/>
      </c>
      <c r="O329" s="2">
        <f>IF(OR(L329="",H329=""),"",IF((L329="met")=(H329="met"),1,0))</f>
        <v/>
      </c>
      <c r="P329" s="2">
        <f>IF(OR(M329="",H329=""),"",IF((M329="met")=(H329="met"),1,0))</f>
        <v/>
      </c>
    </row>
    <row r="330">
      <c r="A330" s="2" t="inlineStr">
        <is>
          <t>C09-20</t>
        </is>
      </c>
      <c r="B330" s="2">
        <f>Key!B330</f>
        <v/>
      </c>
      <c r="C330" s="2">
        <f>Key!C330</f>
        <v/>
      </c>
      <c r="D330" s="2">
        <f>IF(Key!D330="","",Key!D330)</f>
        <v/>
      </c>
      <c r="E330" s="2">
        <f>IF(Label_ChatGPT!F213="","",Label_ChatGPT!F213)</f>
        <v/>
      </c>
      <c r="F330" s="2">
        <f>IF(Label_ChatGPT!G213="","",Label_ChatGPT!G213)</f>
        <v/>
      </c>
      <c r="G330" s="5" t="n"/>
      <c r="H330" s="2">
        <f>IF(G330&lt;&gt;"",G330,IF(AND(E330&lt;&gt;"",E330=F330,E330&lt;&gt;"unsure"),E330,""))</f>
        <v/>
      </c>
      <c r="I330" s="2">
        <f>IF(AND(OR(E330="met",E330="not_met"),OR(F330="met",F330="not_met")),1,0)</f>
        <v/>
      </c>
      <c r="J330" s="2">
        <f>IF(I330=1,IF(E330=F330,1,0),"")</f>
        <v/>
      </c>
      <c r="K330" s="2" t="n"/>
      <c r="L330" s="2" t="n"/>
      <c r="M330" s="2" t="n"/>
      <c r="N330" s="2">
        <f>IF(OR(K330="",H330=""),"",IF((K330="met")=(H330="met"),1,0))</f>
        <v/>
      </c>
      <c r="O330" s="2">
        <f>IF(OR(L330="",H330=""),"",IF((L330="met")=(H330="met"),1,0))</f>
        <v/>
      </c>
      <c r="P330" s="2">
        <f>IF(OR(M330="",H330=""),"",IF((M330="met")=(H330="met"),1,0))</f>
        <v/>
      </c>
    </row>
    <row r="331">
      <c r="A331" s="2" t="inlineStr">
        <is>
          <t>C09-21</t>
        </is>
      </c>
      <c r="B331" s="2">
        <f>Key!B331</f>
        <v/>
      </c>
      <c r="C331" s="2">
        <f>Key!C331</f>
        <v/>
      </c>
      <c r="D331" s="2">
        <f>IF(Key!D331="","",Key!D331)</f>
        <v/>
      </c>
      <c r="E331" s="2">
        <f>IF(Label_ChatGPT!F214="","",Label_ChatGPT!F214)</f>
        <v/>
      </c>
      <c r="F331" s="2">
        <f>IF(Label_ChatGPT!G214="","",Label_ChatGPT!G214)</f>
        <v/>
      </c>
      <c r="G331" s="5" t="n"/>
      <c r="H331" s="2">
        <f>IF(G331&lt;&gt;"",G331,IF(AND(E331&lt;&gt;"",E331=F331,E331&lt;&gt;"unsure"),E331,""))</f>
        <v/>
      </c>
      <c r="I331" s="2">
        <f>IF(AND(OR(E331="met",E331="not_met"),OR(F331="met",F331="not_met")),1,0)</f>
        <v/>
      </c>
      <c r="J331" s="2">
        <f>IF(I331=1,IF(E331=F331,1,0),"")</f>
        <v/>
      </c>
      <c r="K331" s="2" t="n"/>
      <c r="L331" s="2" t="n"/>
      <c r="M331" s="2" t="n"/>
      <c r="N331" s="2">
        <f>IF(OR(K331="",H331=""),"",IF((K331="met")=(H331="met"),1,0))</f>
        <v/>
      </c>
      <c r="O331" s="2">
        <f>IF(OR(L331="",H331=""),"",IF((L331="met")=(H331="met"),1,0))</f>
        <v/>
      </c>
      <c r="P331" s="2">
        <f>IF(OR(M331="",H331=""),"",IF((M331="met")=(H331="met"),1,0))</f>
        <v/>
      </c>
    </row>
    <row r="332">
      <c r="A332" s="2" t="inlineStr">
        <is>
          <t>C09-22</t>
        </is>
      </c>
      <c r="B332" s="2">
        <f>Key!B332</f>
        <v/>
      </c>
      <c r="C332" s="2">
        <f>Key!C332</f>
        <v/>
      </c>
      <c r="D332" s="2">
        <f>IF(Key!D332="","",Key!D332)</f>
        <v/>
      </c>
      <c r="E332" s="2">
        <f>IF(Label_ChatGPT!F215="","",Label_ChatGPT!F215)</f>
        <v/>
      </c>
      <c r="F332" s="2">
        <f>IF(Label_ChatGPT!G215="","",Label_ChatGPT!G215)</f>
        <v/>
      </c>
      <c r="G332" s="5" t="n"/>
      <c r="H332" s="2">
        <f>IF(G332&lt;&gt;"",G332,IF(AND(E332&lt;&gt;"",E332=F332,E332&lt;&gt;"unsure"),E332,""))</f>
        <v/>
      </c>
      <c r="I332" s="2">
        <f>IF(AND(OR(E332="met",E332="not_met"),OR(F332="met",F332="not_met")),1,0)</f>
        <v/>
      </c>
      <c r="J332" s="2">
        <f>IF(I332=1,IF(E332=F332,1,0),"")</f>
        <v/>
      </c>
      <c r="K332" s="2" t="n"/>
      <c r="L332" s="2" t="n"/>
      <c r="M332" s="2" t="n"/>
      <c r="N332" s="2">
        <f>IF(OR(K332="",H332=""),"",IF((K332="met")=(H332="met"),1,0))</f>
        <v/>
      </c>
      <c r="O332" s="2">
        <f>IF(OR(L332="",H332=""),"",IF((L332="met")=(H332="met"),1,0))</f>
        <v/>
      </c>
      <c r="P332" s="2">
        <f>IF(OR(M332="",H332=""),"",IF((M332="met")=(H332="met"),1,0))</f>
        <v/>
      </c>
    </row>
    <row r="333">
      <c r="A333" s="2" t="inlineStr">
        <is>
          <t>C09-23</t>
        </is>
      </c>
      <c r="B333" s="2">
        <f>Key!B333</f>
        <v/>
      </c>
      <c r="C333" s="2">
        <f>Key!C333</f>
        <v/>
      </c>
      <c r="D333" s="2">
        <f>IF(Key!D333="","",Key!D333)</f>
        <v/>
      </c>
      <c r="E333" s="2">
        <f>IF(Label_ChatGPT!F216="","",Label_ChatGPT!F216)</f>
        <v/>
      </c>
      <c r="F333" s="2">
        <f>IF(Label_ChatGPT!G216="","",Label_ChatGPT!G216)</f>
        <v/>
      </c>
      <c r="G333" s="5" t="n"/>
      <c r="H333" s="2">
        <f>IF(G333&lt;&gt;"",G333,IF(AND(E333&lt;&gt;"",E333=F333,E333&lt;&gt;"unsure"),E333,""))</f>
        <v/>
      </c>
      <c r="I333" s="2">
        <f>IF(AND(OR(E333="met",E333="not_met"),OR(F333="met",F333="not_met")),1,0)</f>
        <v/>
      </c>
      <c r="J333" s="2">
        <f>IF(I333=1,IF(E333=F333,1,0),"")</f>
        <v/>
      </c>
      <c r="K333" s="2" t="n"/>
      <c r="L333" s="2" t="n"/>
      <c r="M333" s="2" t="n"/>
      <c r="N333" s="2">
        <f>IF(OR(K333="",H333=""),"",IF((K333="met")=(H333="met"),1,0))</f>
        <v/>
      </c>
      <c r="O333" s="2">
        <f>IF(OR(L333="",H333=""),"",IF((L333="met")=(H333="met"),1,0))</f>
        <v/>
      </c>
      <c r="P333" s="2">
        <f>IF(OR(M333="",H333=""),"",IF((M333="met")=(H333="met"),1,0))</f>
        <v/>
      </c>
    </row>
    <row r="334">
      <c r="A334" s="2" t="inlineStr">
        <is>
          <t>C09-24</t>
        </is>
      </c>
      <c r="B334" s="2">
        <f>Key!B334</f>
        <v/>
      </c>
      <c r="C334" s="2">
        <f>Key!C334</f>
        <v/>
      </c>
      <c r="D334" s="2">
        <f>IF(Key!D334="","",Key!D334)</f>
        <v/>
      </c>
      <c r="E334" s="2">
        <f>IF(Label_ChatGPT!F217="","",Label_ChatGPT!F217)</f>
        <v/>
      </c>
      <c r="F334" s="2">
        <f>IF(Label_ChatGPT!G217="","",Label_ChatGPT!G217)</f>
        <v/>
      </c>
      <c r="G334" s="5" t="n"/>
      <c r="H334" s="2">
        <f>IF(G334&lt;&gt;"",G334,IF(AND(E334&lt;&gt;"",E334=F334,E334&lt;&gt;"unsure"),E334,""))</f>
        <v/>
      </c>
      <c r="I334" s="2">
        <f>IF(AND(OR(E334="met",E334="not_met"),OR(F334="met",F334="not_met")),1,0)</f>
        <v/>
      </c>
      <c r="J334" s="2">
        <f>IF(I334=1,IF(E334=F334,1,0),"")</f>
        <v/>
      </c>
      <c r="K334" s="2" t="n"/>
      <c r="L334" s="2" t="n"/>
      <c r="M334" s="2" t="n"/>
      <c r="N334" s="2">
        <f>IF(OR(K334="",H334=""),"",IF((K334="met")=(H334="met"),1,0))</f>
        <v/>
      </c>
      <c r="O334" s="2">
        <f>IF(OR(L334="",H334=""),"",IF((L334="met")=(H334="met"),1,0))</f>
        <v/>
      </c>
      <c r="P334" s="2">
        <f>IF(OR(M334="",H334=""),"",IF((M334="met")=(H334="met"),1,0))</f>
        <v/>
      </c>
    </row>
    <row r="335">
      <c r="A335" s="2" t="inlineStr">
        <is>
          <t>C09-25</t>
        </is>
      </c>
      <c r="B335" s="2">
        <f>Key!B335</f>
        <v/>
      </c>
      <c r="C335" s="2">
        <f>Key!C335</f>
        <v/>
      </c>
      <c r="D335" s="2">
        <f>IF(Key!D335="","",Key!D335)</f>
        <v/>
      </c>
      <c r="E335" s="2">
        <f>IF(Label_ChatGPT!F218="","",Label_ChatGPT!F218)</f>
        <v/>
      </c>
      <c r="F335" s="2">
        <f>IF(Label_ChatGPT!G218="","",Label_ChatGPT!G218)</f>
        <v/>
      </c>
      <c r="G335" s="5" t="n"/>
      <c r="H335" s="2">
        <f>IF(G335&lt;&gt;"",G335,IF(AND(E335&lt;&gt;"",E335=F335,E335&lt;&gt;"unsure"),E335,""))</f>
        <v/>
      </c>
      <c r="I335" s="2">
        <f>IF(AND(OR(E335="met",E335="not_met"),OR(F335="met",F335="not_met")),1,0)</f>
        <v/>
      </c>
      <c r="J335" s="2">
        <f>IF(I335=1,IF(E335=F335,1,0),"")</f>
        <v/>
      </c>
      <c r="K335" s="2" t="n"/>
      <c r="L335" s="2" t="n"/>
      <c r="M335" s="2" t="n"/>
      <c r="N335" s="2">
        <f>IF(OR(K335="",H335=""),"",IF((K335="met")=(H335="met"),1,0))</f>
        <v/>
      </c>
      <c r="O335" s="2">
        <f>IF(OR(L335="",H335=""),"",IF((L335="met")=(H335="met"),1,0))</f>
        <v/>
      </c>
      <c r="P335" s="2">
        <f>IF(OR(M335="",H335=""),"",IF((M335="met")=(H335="met"),1,0))</f>
        <v/>
      </c>
    </row>
    <row r="336">
      <c r="A336" s="2" t="inlineStr">
        <is>
          <t>C09-26</t>
        </is>
      </c>
      <c r="B336" s="2">
        <f>Key!B336</f>
        <v/>
      </c>
      <c r="C336" s="2">
        <f>Key!C336</f>
        <v/>
      </c>
      <c r="D336" s="2">
        <f>IF(Key!D336="","",Key!D336)</f>
        <v/>
      </c>
      <c r="E336" s="2">
        <f>IF(Label_ChatGPT!F219="","",Label_ChatGPT!F219)</f>
        <v/>
      </c>
      <c r="F336" s="2">
        <f>IF(Label_ChatGPT!G219="","",Label_ChatGPT!G219)</f>
        <v/>
      </c>
      <c r="G336" s="5" t="n"/>
      <c r="H336" s="2">
        <f>IF(G336&lt;&gt;"",G336,IF(AND(E336&lt;&gt;"",E336=F336,E336&lt;&gt;"unsure"),E336,""))</f>
        <v/>
      </c>
      <c r="I336" s="2">
        <f>IF(AND(OR(E336="met",E336="not_met"),OR(F336="met",F336="not_met")),1,0)</f>
        <v/>
      </c>
      <c r="J336" s="2">
        <f>IF(I336=1,IF(E336=F336,1,0),"")</f>
        <v/>
      </c>
      <c r="K336" s="2" t="n"/>
      <c r="L336" s="2" t="n"/>
      <c r="M336" s="2" t="n"/>
      <c r="N336" s="2">
        <f>IF(OR(K336="",H336=""),"",IF((K336="met")=(H336="met"),1,0))</f>
        <v/>
      </c>
      <c r="O336" s="2">
        <f>IF(OR(L336="",H336=""),"",IF((L336="met")=(H336="met"),1,0))</f>
        <v/>
      </c>
      <c r="P336" s="2">
        <f>IF(OR(M336="",H336=""),"",IF((M336="met")=(H336="met"),1,0))</f>
        <v/>
      </c>
    </row>
    <row r="337">
      <c r="A337" s="2" t="inlineStr">
        <is>
          <t>C09-27</t>
        </is>
      </c>
      <c r="B337" s="2">
        <f>Key!B337</f>
        <v/>
      </c>
      <c r="C337" s="2">
        <f>Key!C337</f>
        <v/>
      </c>
      <c r="D337" s="2">
        <f>IF(Key!D337="","",Key!D337)</f>
        <v/>
      </c>
      <c r="E337" s="2">
        <f>IF(Label_ChatGPT!F220="","",Label_ChatGPT!F220)</f>
        <v/>
      </c>
      <c r="F337" s="2">
        <f>IF(Label_ChatGPT!G220="","",Label_ChatGPT!G220)</f>
        <v/>
      </c>
      <c r="G337" s="5" t="n"/>
      <c r="H337" s="2">
        <f>IF(G337&lt;&gt;"",G337,IF(AND(E337&lt;&gt;"",E337=F337,E337&lt;&gt;"unsure"),E337,""))</f>
        <v/>
      </c>
      <c r="I337" s="2">
        <f>IF(AND(OR(E337="met",E337="not_met"),OR(F337="met",F337="not_met")),1,0)</f>
        <v/>
      </c>
      <c r="J337" s="2">
        <f>IF(I337=1,IF(E337=F337,1,0),"")</f>
        <v/>
      </c>
      <c r="K337" s="2" t="n"/>
      <c r="L337" s="2" t="n"/>
      <c r="M337" s="2" t="n"/>
      <c r="N337" s="2">
        <f>IF(OR(K337="",H337=""),"",IF((K337="met")=(H337="met"),1,0))</f>
        <v/>
      </c>
      <c r="O337" s="2">
        <f>IF(OR(L337="",H337=""),"",IF((L337="met")=(H337="met"),1,0))</f>
        <v/>
      </c>
      <c r="P337" s="2">
        <f>IF(OR(M337="",H337=""),"",IF((M337="met")=(H337="met"),1,0))</f>
        <v/>
      </c>
    </row>
    <row r="338">
      <c r="A338" s="2" t="inlineStr">
        <is>
          <t>C09-28</t>
        </is>
      </c>
      <c r="B338" s="2">
        <f>Key!B338</f>
        <v/>
      </c>
      <c r="C338" s="2">
        <f>Key!C338</f>
        <v/>
      </c>
      <c r="D338" s="2">
        <f>IF(Key!D338="","",Key!D338)</f>
        <v/>
      </c>
      <c r="E338" s="2">
        <f>IF(Label_ChatGPT!F221="","",Label_ChatGPT!F221)</f>
        <v/>
      </c>
      <c r="F338" s="2">
        <f>IF(Label_ChatGPT!G221="","",Label_ChatGPT!G221)</f>
        <v/>
      </c>
      <c r="G338" s="5" t="n"/>
      <c r="H338" s="2">
        <f>IF(G338&lt;&gt;"",G338,IF(AND(E338&lt;&gt;"",E338=F338,E338&lt;&gt;"unsure"),E338,""))</f>
        <v/>
      </c>
      <c r="I338" s="2">
        <f>IF(AND(OR(E338="met",E338="not_met"),OR(F338="met",F338="not_met")),1,0)</f>
        <v/>
      </c>
      <c r="J338" s="2">
        <f>IF(I338=1,IF(E338=F338,1,0),"")</f>
        <v/>
      </c>
      <c r="K338" s="2" t="n"/>
      <c r="L338" s="2" t="n"/>
      <c r="M338" s="2" t="n"/>
      <c r="N338" s="2">
        <f>IF(OR(K338="",H338=""),"",IF((K338="met")=(H338="met"),1,0))</f>
        <v/>
      </c>
      <c r="O338" s="2">
        <f>IF(OR(L338="",H338=""),"",IF((L338="met")=(H338="met"),1,0))</f>
        <v/>
      </c>
      <c r="P338" s="2">
        <f>IF(OR(M338="",H338=""),"",IF((M338="met")=(H338="met"),1,0))</f>
        <v/>
      </c>
    </row>
    <row r="339">
      <c r="A339" s="2" t="inlineStr">
        <is>
          <t>C09-29</t>
        </is>
      </c>
      <c r="B339" s="2">
        <f>Key!B339</f>
        <v/>
      </c>
      <c r="C339" s="2">
        <f>Key!C339</f>
        <v/>
      </c>
      <c r="D339" s="2">
        <f>IF(Key!D339="","",Key!D339)</f>
        <v/>
      </c>
      <c r="E339" s="2">
        <f>IF(Label_ChatGPT!F222="","",Label_ChatGPT!F222)</f>
        <v/>
      </c>
      <c r="F339" s="2">
        <f>IF(Label_ChatGPT!G222="","",Label_ChatGPT!G222)</f>
        <v/>
      </c>
      <c r="G339" s="5" t="n"/>
      <c r="H339" s="2">
        <f>IF(G339&lt;&gt;"",G339,IF(AND(E339&lt;&gt;"",E339=F339,E339&lt;&gt;"unsure"),E339,""))</f>
        <v/>
      </c>
      <c r="I339" s="2">
        <f>IF(AND(OR(E339="met",E339="not_met"),OR(F339="met",F339="not_met")),1,0)</f>
        <v/>
      </c>
      <c r="J339" s="2">
        <f>IF(I339=1,IF(E339=F339,1,0),"")</f>
        <v/>
      </c>
      <c r="K339" s="2" t="n"/>
      <c r="L339" s="2" t="n"/>
      <c r="M339" s="2" t="n"/>
      <c r="N339" s="2">
        <f>IF(OR(K339="",H339=""),"",IF((K339="met")=(H339="met"),1,0))</f>
        <v/>
      </c>
      <c r="O339" s="2">
        <f>IF(OR(L339="",H339=""),"",IF((L339="met")=(H339="met"),1,0))</f>
        <v/>
      </c>
      <c r="P339" s="2">
        <f>IF(OR(M339="",H339=""),"",IF((M339="met")=(H339="met"),1,0))</f>
        <v/>
      </c>
    </row>
    <row r="340">
      <c r="A340" s="2" t="inlineStr">
        <is>
          <t>C09-30</t>
        </is>
      </c>
      <c r="B340" s="2">
        <f>Key!B340</f>
        <v/>
      </c>
      <c r="C340" s="2">
        <f>Key!C340</f>
        <v/>
      </c>
      <c r="D340" s="2">
        <f>IF(Key!D340="","",Key!D340)</f>
        <v/>
      </c>
      <c r="E340" s="2">
        <f>IF(Label_ChatGPT!F223="","",Label_ChatGPT!F223)</f>
        <v/>
      </c>
      <c r="F340" s="2">
        <f>IF(Label_ChatGPT!G223="","",Label_ChatGPT!G223)</f>
        <v/>
      </c>
      <c r="G340" s="5" t="n"/>
      <c r="H340" s="2">
        <f>IF(G340&lt;&gt;"",G340,IF(AND(E340&lt;&gt;"",E340=F340,E340&lt;&gt;"unsure"),E340,""))</f>
        <v/>
      </c>
      <c r="I340" s="2">
        <f>IF(AND(OR(E340="met",E340="not_met"),OR(F340="met",F340="not_met")),1,0)</f>
        <v/>
      </c>
      <c r="J340" s="2">
        <f>IF(I340=1,IF(E340=F340,1,0),"")</f>
        <v/>
      </c>
      <c r="K340" s="2" t="n"/>
      <c r="L340" s="2" t="n"/>
      <c r="M340" s="2" t="n"/>
      <c r="N340" s="2">
        <f>IF(OR(K340="",H340=""),"",IF((K340="met")=(H340="met"),1,0))</f>
        <v/>
      </c>
      <c r="O340" s="2">
        <f>IF(OR(L340="",H340=""),"",IF((L340="met")=(H340="met"),1,0))</f>
        <v/>
      </c>
      <c r="P340" s="2">
        <f>IF(OR(M340="",H340=""),"",IF((M340="met")=(H340="met"),1,0))</f>
        <v/>
      </c>
    </row>
    <row r="341">
      <c r="A341" s="2" t="inlineStr">
        <is>
          <t>C09-31</t>
        </is>
      </c>
      <c r="B341" s="2">
        <f>Key!B341</f>
        <v/>
      </c>
      <c r="C341" s="2">
        <f>Key!C341</f>
        <v/>
      </c>
      <c r="D341" s="2">
        <f>IF(Key!D341="","",Key!D341)</f>
        <v/>
      </c>
      <c r="E341" s="2">
        <f>IF(Label_ChatGPT!F224="","",Label_ChatGPT!F224)</f>
        <v/>
      </c>
      <c r="F341" s="2">
        <f>IF(Label_ChatGPT!G224="","",Label_ChatGPT!G224)</f>
        <v/>
      </c>
      <c r="G341" s="5" t="n"/>
      <c r="H341" s="2">
        <f>IF(G341&lt;&gt;"",G341,IF(AND(E341&lt;&gt;"",E341=F341,E341&lt;&gt;"unsure"),E341,""))</f>
        <v/>
      </c>
      <c r="I341" s="2">
        <f>IF(AND(OR(E341="met",E341="not_met"),OR(F341="met",F341="not_met")),1,0)</f>
        <v/>
      </c>
      <c r="J341" s="2">
        <f>IF(I341=1,IF(E341=F341,1,0),"")</f>
        <v/>
      </c>
      <c r="K341" s="2" t="n"/>
      <c r="L341" s="2" t="n"/>
      <c r="M341" s="2" t="n"/>
      <c r="N341" s="2">
        <f>IF(OR(K341="",H341=""),"",IF((K341="met")=(H341="met"),1,0))</f>
        <v/>
      </c>
      <c r="O341" s="2">
        <f>IF(OR(L341="",H341=""),"",IF((L341="met")=(H341="met"),1,0))</f>
        <v/>
      </c>
      <c r="P341" s="2">
        <f>IF(OR(M341="",H341=""),"",IF((M341="met")=(H341="met"),1,0))</f>
        <v/>
      </c>
    </row>
    <row r="342">
      <c r="A342" s="2" t="inlineStr">
        <is>
          <t>C09-32</t>
        </is>
      </c>
      <c r="B342" s="2">
        <f>Key!B342</f>
        <v/>
      </c>
      <c r="C342" s="2">
        <f>Key!C342</f>
        <v/>
      </c>
      <c r="D342" s="2">
        <f>IF(Key!D342="","",Key!D342)</f>
        <v/>
      </c>
      <c r="E342" s="2">
        <f>IF(Label_ChatGPT!F225="","",Label_ChatGPT!F225)</f>
        <v/>
      </c>
      <c r="F342" s="2">
        <f>IF(Label_ChatGPT!G225="","",Label_ChatGPT!G225)</f>
        <v/>
      </c>
      <c r="G342" s="5" t="n"/>
      <c r="H342" s="2">
        <f>IF(G342&lt;&gt;"",G342,IF(AND(E342&lt;&gt;"",E342=F342,E342&lt;&gt;"unsure"),E342,""))</f>
        <v/>
      </c>
      <c r="I342" s="2">
        <f>IF(AND(OR(E342="met",E342="not_met"),OR(F342="met",F342="not_met")),1,0)</f>
        <v/>
      </c>
      <c r="J342" s="2">
        <f>IF(I342=1,IF(E342=F342,1,0),"")</f>
        <v/>
      </c>
      <c r="K342" s="2" t="n"/>
      <c r="L342" s="2" t="n"/>
      <c r="M342" s="2" t="n"/>
      <c r="N342" s="2">
        <f>IF(OR(K342="",H342=""),"",IF((K342="met")=(H342="met"),1,0))</f>
        <v/>
      </c>
      <c r="O342" s="2">
        <f>IF(OR(L342="",H342=""),"",IF((L342="met")=(H342="met"),1,0))</f>
        <v/>
      </c>
      <c r="P342" s="2">
        <f>IF(OR(M342="",H342=""),"",IF((M342="met")=(H342="met"),1,0))</f>
        <v/>
      </c>
    </row>
    <row r="343">
      <c r="A343" s="2" t="inlineStr">
        <is>
          <t>C09-33</t>
        </is>
      </c>
      <c r="B343" s="2">
        <f>Key!B343</f>
        <v/>
      </c>
      <c r="C343" s="2">
        <f>Key!C343</f>
        <v/>
      </c>
      <c r="D343" s="2">
        <f>IF(Key!D343="","",Key!D343)</f>
        <v/>
      </c>
      <c r="E343" s="2">
        <f>IF(Label_ChatGPT!F226="","",Label_ChatGPT!F226)</f>
        <v/>
      </c>
      <c r="F343" s="2">
        <f>IF(Label_ChatGPT!G226="","",Label_ChatGPT!G226)</f>
        <v/>
      </c>
      <c r="G343" s="5" t="n"/>
      <c r="H343" s="2">
        <f>IF(G343&lt;&gt;"",G343,IF(AND(E343&lt;&gt;"",E343=F343,E343&lt;&gt;"unsure"),E343,""))</f>
        <v/>
      </c>
      <c r="I343" s="2">
        <f>IF(AND(OR(E343="met",E343="not_met"),OR(F343="met",F343="not_met")),1,0)</f>
        <v/>
      </c>
      <c r="J343" s="2">
        <f>IF(I343=1,IF(E343=F343,1,0),"")</f>
        <v/>
      </c>
      <c r="K343" s="2" t="n"/>
      <c r="L343" s="2" t="n"/>
      <c r="M343" s="2" t="n"/>
      <c r="N343" s="2">
        <f>IF(OR(K343="",H343=""),"",IF((K343="met")=(H343="met"),1,0))</f>
        <v/>
      </c>
      <c r="O343" s="2">
        <f>IF(OR(L343="",H343=""),"",IF((L343="met")=(H343="met"),1,0))</f>
        <v/>
      </c>
      <c r="P343" s="2">
        <f>IF(OR(M343="",H343=""),"",IF((M343="met")=(H343="met"),1,0))</f>
        <v/>
      </c>
    </row>
    <row r="344">
      <c r="A344" s="2" t="inlineStr">
        <is>
          <t>C10-01</t>
        </is>
      </c>
      <c r="B344" s="2">
        <f>Key!B344</f>
        <v/>
      </c>
      <c r="C344" s="2">
        <f>Key!C344</f>
        <v/>
      </c>
      <c r="D344" s="2">
        <f>IF(Key!D344="","",Key!D344)</f>
        <v/>
      </c>
      <c r="E344" s="2">
        <f>IF(Label_ChatGPT!F227="","",Label_ChatGPT!F227)</f>
        <v/>
      </c>
      <c r="F344" s="2">
        <f>IF(Label_ChatGPT!G227="","",Label_ChatGPT!G227)</f>
        <v/>
      </c>
      <c r="G344" s="5" t="n"/>
      <c r="H344" s="2">
        <f>IF(G344&lt;&gt;"",G344,IF(AND(E344&lt;&gt;"",E344=F344,E344&lt;&gt;"unsure"),E344,""))</f>
        <v/>
      </c>
      <c r="I344" s="2">
        <f>IF(AND(OR(E344="met",E344="not_met"),OR(F344="met",F344="not_met")),1,0)</f>
        <v/>
      </c>
      <c r="J344" s="2">
        <f>IF(I344=1,IF(E344=F344,1,0),"")</f>
        <v/>
      </c>
      <c r="K344" s="2" t="n"/>
      <c r="L344" s="2" t="n"/>
      <c r="M344" s="2" t="n"/>
      <c r="N344" s="2">
        <f>IF(OR(K344="",H344=""),"",IF((K344="met")=(H344="met"),1,0))</f>
        <v/>
      </c>
      <c r="O344" s="2">
        <f>IF(OR(L344="",H344=""),"",IF((L344="met")=(H344="met"),1,0))</f>
        <v/>
      </c>
      <c r="P344" s="2">
        <f>IF(OR(M344="",H344=""),"",IF((M344="met")=(H344="met"),1,0))</f>
        <v/>
      </c>
    </row>
    <row r="345">
      <c r="A345" s="2" t="inlineStr">
        <is>
          <t>C10-02</t>
        </is>
      </c>
      <c r="B345" s="2">
        <f>Key!B345</f>
        <v/>
      </c>
      <c r="C345" s="2">
        <f>Key!C345</f>
        <v/>
      </c>
      <c r="D345" s="2">
        <f>IF(Key!D345="","",Key!D345)</f>
        <v/>
      </c>
      <c r="E345" s="2">
        <f>IF(Label_ChatGPT!F228="","",Label_ChatGPT!F228)</f>
        <v/>
      </c>
      <c r="F345" s="2">
        <f>IF(Label_ChatGPT!G228="","",Label_ChatGPT!G228)</f>
        <v/>
      </c>
      <c r="G345" s="5" t="n"/>
      <c r="H345" s="2">
        <f>IF(G345&lt;&gt;"",G345,IF(AND(E345&lt;&gt;"",E345=F345,E345&lt;&gt;"unsure"),E345,""))</f>
        <v/>
      </c>
      <c r="I345" s="2">
        <f>IF(AND(OR(E345="met",E345="not_met"),OR(F345="met",F345="not_met")),1,0)</f>
        <v/>
      </c>
      <c r="J345" s="2">
        <f>IF(I345=1,IF(E345=F345,1,0),"")</f>
        <v/>
      </c>
      <c r="K345" s="2" t="n"/>
      <c r="L345" s="2" t="n"/>
      <c r="M345" s="2" t="n"/>
      <c r="N345" s="2">
        <f>IF(OR(K345="",H345=""),"",IF((K345="met")=(H345="met"),1,0))</f>
        <v/>
      </c>
      <c r="O345" s="2">
        <f>IF(OR(L345="",H345=""),"",IF((L345="met")=(H345="met"),1,0))</f>
        <v/>
      </c>
      <c r="P345" s="2">
        <f>IF(OR(M345="",H345=""),"",IF((M345="met")=(H345="met"),1,0))</f>
        <v/>
      </c>
    </row>
    <row r="346">
      <c r="A346" s="2" t="inlineStr">
        <is>
          <t>C10-03</t>
        </is>
      </c>
      <c r="B346" s="2">
        <f>Key!B346</f>
        <v/>
      </c>
      <c r="C346" s="2">
        <f>Key!C346</f>
        <v/>
      </c>
      <c r="D346" s="2">
        <f>IF(Key!D346="","",Key!D346)</f>
        <v/>
      </c>
      <c r="E346" s="2">
        <f>IF(Label_ChatGPT!F229="","",Label_ChatGPT!F229)</f>
        <v/>
      </c>
      <c r="F346" s="2">
        <f>IF(Label_ChatGPT!G229="","",Label_ChatGPT!G229)</f>
        <v/>
      </c>
      <c r="G346" s="5" t="n"/>
      <c r="H346" s="2">
        <f>IF(G346&lt;&gt;"",G346,IF(AND(E346&lt;&gt;"",E346=F346,E346&lt;&gt;"unsure"),E346,""))</f>
        <v/>
      </c>
      <c r="I346" s="2">
        <f>IF(AND(OR(E346="met",E346="not_met"),OR(F346="met",F346="not_met")),1,0)</f>
        <v/>
      </c>
      <c r="J346" s="2">
        <f>IF(I346=1,IF(E346=F346,1,0),"")</f>
        <v/>
      </c>
      <c r="K346" s="2" t="n"/>
      <c r="L346" s="2" t="n"/>
      <c r="M346" s="2" t="n"/>
      <c r="N346" s="2">
        <f>IF(OR(K346="",H346=""),"",IF((K346="met")=(H346="met"),1,0))</f>
        <v/>
      </c>
      <c r="O346" s="2">
        <f>IF(OR(L346="",H346=""),"",IF((L346="met")=(H346="met"),1,0))</f>
        <v/>
      </c>
      <c r="P346" s="2">
        <f>IF(OR(M346="",H346=""),"",IF((M346="met")=(H346="met"),1,0))</f>
        <v/>
      </c>
    </row>
    <row r="347">
      <c r="A347" s="2" t="inlineStr">
        <is>
          <t>C10-04</t>
        </is>
      </c>
      <c r="B347" s="2">
        <f>Key!B347</f>
        <v/>
      </c>
      <c r="C347" s="2">
        <f>Key!C347</f>
        <v/>
      </c>
      <c r="D347" s="2">
        <f>IF(Key!D347="","",Key!D347)</f>
        <v/>
      </c>
      <c r="E347" s="2">
        <f>IF(Label_ChatGPT!F230="","",Label_ChatGPT!F230)</f>
        <v/>
      </c>
      <c r="F347" s="2">
        <f>IF(Label_ChatGPT!G230="","",Label_ChatGPT!G230)</f>
        <v/>
      </c>
      <c r="G347" s="5" t="n"/>
      <c r="H347" s="2">
        <f>IF(G347&lt;&gt;"",G347,IF(AND(E347&lt;&gt;"",E347=F347,E347&lt;&gt;"unsure"),E347,""))</f>
        <v/>
      </c>
      <c r="I347" s="2">
        <f>IF(AND(OR(E347="met",E347="not_met"),OR(F347="met",F347="not_met")),1,0)</f>
        <v/>
      </c>
      <c r="J347" s="2">
        <f>IF(I347=1,IF(E347=F347,1,0),"")</f>
        <v/>
      </c>
      <c r="K347" s="2" t="n"/>
      <c r="L347" s="2" t="n"/>
      <c r="M347" s="2" t="n"/>
      <c r="N347" s="2">
        <f>IF(OR(K347="",H347=""),"",IF((K347="met")=(H347="met"),1,0))</f>
        <v/>
      </c>
      <c r="O347" s="2">
        <f>IF(OR(L347="",H347=""),"",IF((L347="met")=(H347="met"),1,0))</f>
        <v/>
      </c>
      <c r="P347" s="2">
        <f>IF(OR(M347="",H347=""),"",IF((M347="met")=(H347="met"),1,0))</f>
        <v/>
      </c>
    </row>
    <row r="348">
      <c r="A348" s="2" t="inlineStr">
        <is>
          <t>C10-05</t>
        </is>
      </c>
      <c r="B348" s="2">
        <f>Key!B348</f>
        <v/>
      </c>
      <c r="C348" s="2">
        <f>Key!C348</f>
        <v/>
      </c>
      <c r="D348" s="2">
        <f>IF(Key!D348="","",Key!D348)</f>
        <v/>
      </c>
      <c r="E348" s="2">
        <f>IF(Label_ChatGPT!F231="","",Label_ChatGPT!F231)</f>
        <v/>
      </c>
      <c r="F348" s="2">
        <f>IF(Label_ChatGPT!G231="","",Label_ChatGPT!G231)</f>
        <v/>
      </c>
      <c r="G348" s="5" t="n"/>
      <c r="H348" s="2">
        <f>IF(G348&lt;&gt;"",G348,IF(AND(E348&lt;&gt;"",E348=F348,E348&lt;&gt;"unsure"),E348,""))</f>
        <v/>
      </c>
      <c r="I348" s="2">
        <f>IF(AND(OR(E348="met",E348="not_met"),OR(F348="met",F348="not_met")),1,0)</f>
        <v/>
      </c>
      <c r="J348" s="2">
        <f>IF(I348=1,IF(E348=F348,1,0),"")</f>
        <v/>
      </c>
      <c r="K348" s="2" t="n"/>
      <c r="L348" s="2" t="n"/>
      <c r="M348" s="2" t="n"/>
      <c r="N348" s="2">
        <f>IF(OR(K348="",H348=""),"",IF((K348="met")=(H348="met"),1,0))</f>
        <v/>
      </c>
      <c r="O348" s="2">
        <f>IF(OR(L348="",H348=""),"",IF((L348="met")=(H348="met"),1,0))</f>
        <v/>
      </c>
      <c r="P348" s="2">
        <f>IF(OR(M348="",H348=""),"",IF((M348="met")=(H348="met"),1,0))</f>
        <v/>
      </c>
    </row>
    <row r="349">
      <c r="A349" s="2" t="inlineStr">
        <is>
          <t>C10-06</t>
        </is>
      </c>
      <c r="B349" s="2">
        <f>Key!B349</f>
        <v/>
      </c>
      <c r="C349" s="2">
        <f>Key!C349</f>
        <v/>
      </c>
      <c r="D349" s="2">
        <f>IF(Key!D349="","",Key!D349)</f>
        <v/>
      </c>
      <c r="E349" s="2">
        <f>IF(Label_ChatGPT!F232="","",Label_ChatGPT!F232)</f>
        <v/>
      </c>
      <c r="F349" s="2">
        <f>IF(Label_ChatGPT!G232="","",Label_ChatGPT!G232)</f>
        <v/>
      </c>
      <c r="G349" s="5" t="n"/>
      <c r="H349" s="2">
        <f>IF(G349&lt;&gt;"",G349,IF(AND(E349&lt;&gt;"",E349=F349,E349&lt;&gt;"unsure"),E349,""))</f>
        <v/>
      </c>
      <c r="I349" s="2">
        <f>IF(AND(OR(E349="met",E349="not_met"),OR(F349="met",F349="not_met")),1,0)</f>
        <v/>
      </c>
      <c r="J349" s="2">
        <f>IF(I349=1,IF(E349=F349,1,0),"")</f>
        <v/>
      </c>
      <c r="K349" s="2" t="n"/>
      <c r="L349" s="2" t="n"/>
      <c r="M349" s="2" t="n"/>
      <c r="N349" s="2">
        <f>IF(OR(K349="",H349=""),"",IF((K349="met")=(H349="met"),1,0))</f>
        <v/>
      </c>
      <c r="O349" s="2">
        <f>IF(OR(L349="",H349=""),"",IF((L349="met")=(H349="met"),1,0))</f>
        <v/>
      </c>
      <c r="P349" s="2">
        <f>IF(OR(M349="",H349=""),"",IF((M349="met")=(H349="met"),1,0))</f>
        <v/>
      </c>
    </row>
    <row r="350">
      <c r="A350" s="2" t="inlineStr">
        <is>
          <t>C10-07</t>
        </is>
      </c>
      <c r="B350" s="2">
        <f>Key!B350</f>
        <v/>
      </c>
      <c r="C350" s="2">
        <f>Key!C350</f>
        <v/>
      </c>
      <c r="D350" s="2">
        <f>IF(Key!D350="","",Key!D350)</f>
        <v/>
      </c>
      <c r="E350" s="2">
        <f>IF(Label_ChatGPT!F233="","",Label_ChatGPT!F233)</f>
        <v/>
      </c>
      <c r="F350" s="2">
        <f>IF(Label_ChatGPT!G233="","",Label_ChatGPT!G233)</f>
        <v/>
      </c>
      <c r="G350" s="5" t="n"/>
      <c r="H350" s="2">
        <f>IF(G350&lt;&gt;"",G350,IF(AND(E350&lt;&gt;"",E350=F350,E350&lt;&gt;"unsure"),E350,""))</f>
        <v/>
      </c>
      <c r="I350" s="2">
        <f>IF(AND(OR(E350="met",E350="not_met"),OR(F350="met",F350="not_met")),1,0)</f>
        <v/>
      </c>
      <c r="J350" s="2">
        <f>IF(I350=1,IF(E350=F350,1,0),"")</f>
        <v/>
      </c>
      <c r="K350" s="2" t="n"/>
      <c r="L350" s="2" t="n"/>
      <c r="M350" s="2" t="n"/>
      <c r="N350" s="2">
        <f>IF(OR(K350="",H350=""),"",IF((K350="met")=(H350="met"),1,0))</f>
        <v/>
      </c>
      <c r="O350" s="2">
        <f>IF(OR(L350="",H350=""),"",IF((L350="met")=(H350="met"),1,0))</f>
        <v/>
      </c>
      <c r="P350" s="2">
        <f>IF(OR(M350="",H350=""),"",IF((M350="met")=(H350="met"),1,0))</f>
        <v/>
      </c>
    </row>
    <row r="351">
      <c r="A351" s="2" t="inlineStr">
        <is>
          <t>C10-08</t>
        </is>
      </c>
      <c r="B351" s="2">
        <f>Key!B351</f>
        <v/>
      </c>
      <c r="C351" s="2">
        <f>Key!C351</f>
        <v/>
      </c>
      <c r="D351" s="2">
        <f>IF(Key!D351="","",Key!D351)</f>
        <v/>
      </c>
      <c r="E351" s="2">
        <f>IF(Label_ChatGPT!F234="","",Label_ChatGPT!F234)</f>
        <v/>
      </c>
      <c r="F351" s="2">
        <f>IF(Label_ChatGPT!G234="","",Label_ChatGPT!G234)</f>
        <v/>
      </c>
      <c r="G351" s="5" t="n"/>
      <c r="H351" s="2">
        <f>IF(G351&lt;&gt;"",G351,IF(AND(E351&lt;&gt;"",E351=F351,E351&lt;&gt;"unsure"),E351,""))</f>
        <v/>
      </c>
      <c r="I351" s="2">
        <f>IF(AND(OR(E351="met",E351="not_met"),OR(F351="met",F351="not_met")),1,0)</f>
        <v/>
      </c>
      <c r="J351" s="2">
        <f>IF(I351=1,IF(E351=F351,1,0),"")</f>
        <v/>
      </c>
      <c r="K351" s="2" t="n"/>
      <c r="L351" s="2" t="n"/>
      <c r="M351" s="2" t="n"/>
      <c r="N351" s="2">
        <f>IF(OR(K351="",H351=""),"",IF((K351="met")=(H351="met"),1,0))</f>
        <v/>
      </c>
      <c r="O351" s="2">
        <f>IF(OR(L351="",H351=""),"",IF((L351="met")=(H351="met"),1,0))</f>
        <v/>
      </c>
      <c r="P351" s="2">
        <f>IF(OR(M351="",H351=""),"",IF((M351="met")=(H351="met"),1,0))</f>
        <v/>
      </c>
    </row>
    <row r="352">
      <c r="A352" s="2" t="inlineStr">
        <is>
          <t>C10-09</t>
        </is>
      </c>
      <c r="B352" s="2">
        <f>Key!B352</f>
        <v/>
      </c>
      <c r="C352" s="2">
        <f>Key!C352</f>
        <v/>
      </c>
      <c r="D352" s="2">
        <f>IF(Key!D352="","",Key!D352)</f>
        <v/>
      </c>
      <c r="E352" s="2">
        <f>IF(Label_ChatGPT!F235="","",Label_ChatGPT!F235)</f>
        <v/>
      </c>
      <c r="F352" s="2">
        <f>IF(Label_ChatGPT!G235="","",Label_ChatGPT!G235)</f>
        <v/>
      </c>
      <c r="G352" s="5" t="n"/>
      <c r="H352" s="2">
        <f>IF(G352&lt;&gt;"",G352,IF(AND(E352&lt;&gt;"",E352=F352,E352&lt;&gt;"unsure"),E352,""))</f>
        <v/>
      </c>
      <c r="I352" s="2">
        <f>IF(AND(OR(E352="met",E352="not_met"),OR(F352="met",F352="not_met")),1,0)</f>
        <v/>
      </c>
      <c r="J352" s="2">
        <f>IF(I352=1,IF(E352=F352,1,0),"")</f>
        <v/>
      </c>
      <c r="K352" s="2" t="n"/>
      <c r="L352" s="2" t="n"/>
      <c r="M352" s="2" t="n"/>
      <c r="N352" s="2">
        <f>IF(OR(K352="",H352=""),"",IF((K352="met")=(H352="met"),1,0))</f>
        <v/>
      </c>
      <c r="O352" s="2">
        <f>IF(OR(L352="",H352=""),"",IF((L352="met")=(H352="met"),1,0))</f>
        <v/>
      </c>
      <c r="P352" s="2">
        <f>IF(OR(M352="",H352=""),"",IF((M352="met")=(H352="met"),1,0))</f>
        <v/>
      </c>
    </row>
    <row r="353">
      <c r="A353" s="2" t="inlineStr">
        <is>
          <t>C10-10</t>
        </is>
      </c>
      <c r="B353" s="2">
        <f>Key!B353</f>
        <v/>
      </c>
      <c r="C353" s="2">
        <f>Key!C353</f>
        <v/>
      </c>
      <c r="D353" s="2">
        <f>IF(Key!D353="","",Key!D353)</f>
        <v/>
      </c>
      <c r="E353" s="2">
        <f>IF(Label_ChatGPT!F236="","",Label_ChatGPT!F236)</f>
        <v/>
      </c>
      <c r="F353" s="2">
        <f>IF(Label_ChatGPT!G236="","",Label_ChatGPT!G236)</f>
        <v/>
      </c>
      <c r="G353" s="5" t="n"/>
      <c r="H353" s="2">
        <f>IF(G353&lt;&gt;"",G353,IF(AND(E353&lt;&gt;"",E353=F353,E353&lt;&gt;"unsure"),E353,""))</f>
        <v/>
      </c>
      <c r="I353" s="2">
        <f>IF(AND(OR(E353="met",E353="not_met"),OR(F353="met",F353="not_met")),1,0)</f>
        <v/>
      </c>
      <c r="J353" s="2">
        <f>IF(I353=1,IF(E353=F353,1,0),"")</f>
        <v/>
      </c>
      <c r="K353" s="2" t="n"/>
      <c r="L353" s="2" t="n"/>
      <c r="M353" s="2" t="n"/>
      <c r="N353" s="2">
        <f>IF(OR(K353="",H353=""),"",IF((K353="met")=(H353="met"),1,0))</f>
        <v/>
      </c>
      <c r="O353" s="2">
        <f>IF(OR(L353="",H353=""),"",IF((L353="met")=(H353="met"),1,0))</f>
        <v/>
      </c>
      <c r="P353" s="2">
        <f>IF(OR(M353="",H353=""),"",IF((M353="met")=(H353="met"),1,0))</f>
        <v/>
      </c>
    </row>
    <row r="354">
      <c r="A354" s="2" t="inlineStr">
        <is>
          <t>C10-11</t>
        </is>
      </c>
      <c r="B354" s="2">
        <f>Key!B354</f>
        <v/>
      </c>
      <c r="C354" s="2">
        <f>Key!C354</f>
        <v/>
      </c>
      <c r="D354" s="2">
        <f>IF(Key!D354="","",Key!D354)</f>
        <v/>
      </c>
      <c r="E354" s="2">
        <f>IF(Label_ChatGPT!F237="","",Label_ChatGPT!F237)</f>
        <v/>
      </c>
      <c r="F354" s="2">
        <f>IF(Label_ChatGPT!G237="","",Label_ChatGPT!G237)</f>
        <v/>
      </c>
      <c r="G354" s="5" t="n"/>
      <c r="H354" s="2">
        <f>IF(G354&lt;&gt;"",G354,IF(AND(E354&lt;&gt;"",E354=F354,E354&lt;&gt;"unsure"),E354,""))</f>
        <v/>
      </c>
      <c r="I354" s="2">
        <f>IF(AND(OR(E354="met",E354="not_met"),OR(F354="met",F354="not_met")),1,0)</f>
        <v/>
      </c>
      <c r="J354" s="2">
        <f>IF(I354=1,IF(E354=F354,1,0),"")</f>
        <v/>
      </c>
      <c r="K354" s="2" t="n"/>
      <c r="L354" s="2" t="n"/>
      <c r="M354" s="2" t="n"/>
      <c r="N354" s="2">
        <f>IF(OR(K354="",H354=""),"",IF((K354="met")=(H354="met"),1,0))</f>
        <v/>
      </c>
      <c r="O354" s="2">
        <f>IF(OR(L354="",H354=""),"",IF((L354="met")=(H354="met"),1,0))</f>
        <v/>
      </c>
      <c r="P354" s="2">
        <f>IF(OR(M354="",H354=""),"",IF((M354="met")=(H354="met"),1,0))</f>
        <v/>
      </c>
    </row>
    <row r="355">
      <c r="A355" s="2" t="inlineStr">
        <is>
          <t>C10-12</t>
        </is>
      </c>
      <c r="B355" s="2">
        <f>Key!B355</f>
        <v/>
      </c>
      <c r="C355" s="2">
        <f>Key!C355</f>
        <v/>
      </c>
      <c r="D355" s="2">
        <f>IF(Key!D355="","",Key!D355)</f>
        <v/>
      </c>
      <c r="E355" s="2">
        <f>IF(Label_ChatGPT!F238="","",Label_ChatGPT!F238)</f>
        <v/>
      </c>
      <c r="F355" s="2">
        <f>IF(Label_ChatGPT!G238="","",Label_ChatGPT!G238)</f>
        <v/>
      </c>
      <c r="G355" s="5" t="n"/>
      <c r="H355" s="2">
        <f>IF(G355&lt;&gt;"",G355,IF(AND(E355&lt;&gt;"",E355=F355,E355&lt;&gt;"unsure"),E355,""))</f>
        <v/>
      </c>
      <c r="I355" s="2">
        <f>IF(AND(OR(E355="met",E355="not_met"),OR(F355="met",F355="not_met")),1,0)</f>
        <v/>
      </c>
      <c r="J355" s="2">
        <f>IF(I355=1,IF(E355=F355,1,0),"")</f>
        <v/>
      </c>
      <c r="K355" s="2" t="n"/>
      <c r="L355" s="2" t="n"/>
      <c r="M355" s="2" t="n"/>
      <c r="N355" s="2">
        <f>IF(OR(K355="",H355=""),"",IF((K355="met")=(H355="met"),1,0))</f>
        <v/>
      </c>
      <c r="O355" s="2">
        <f>IF(OR(L355="",H355=""),"",IF((L355="met")=(H355="met"),1,0))</f>
        <v/>
      </c>
      <c r="P355" s="2">
        <f>IF(OR(M355="",H355=""),"",IF((M355="met")=(H355="met"),1,0))</f>
        <v/>
      </c>
    </row>
    <row r="356">
      <c r="A356" s="2" t="inlineStr">
        <is>
          <t>C10-13</t>
        </is>
      </c>
      <c r="B356" s="2">
        <f>Key!B356</f>
        <v/>
      </c>
      <c r="C356" s="2">
        <f>Key!C356</f>
        <v/>
      </c>
      <c r="D356" s="2">
        <f>IF(Key!D356="","",Key!D356)</f>
        <v/>
      </c>
      <c r="E356" s="2">
        <f>IF(Label_ChatGPT!F239="","",Label_ChatGPT!F239)</f>
        <v/>
      </c>
      <c r="F356" s="2">
        <f>IF(Label_ChatGPT!G239="","",Label_ChatGPT!G239)</f>
        <v/>
      </c>
      <c r="G356" s="5" t="n"/>
      <c r="H356" s="2">
        <f>IF(G356&lt;&gt;"",G356,IF(AND(E356&lt;&gt;"",E356=F356,E356&lt;&gt;"unsure"),E356,""))</f>
        <v/>
      </c>
      <c r="I356" s="2">
        <f>IF(AND(OR(E356="met",E356="not_met"),OR(F356="met",F356="not_met")),1,0)</f>
        <v/>
      </c>
      <c r="J356" s="2">
        <f>IF(I356=1,IF(E356=F356,1,0),"")</f>
        <v/>
      </c>
      <c r="K356" s="2" t="n"/>
      <c r="L356" s="2" t="n"/>
      <c r="M356" s="2" t="n"/>
      <c r="N356" s="2">
        <f>IF(OR(K356="",H356=""),"",IF((K356="met")=(H356="met"),1,0))</f>
        <v/>
      </c>
      <c r="O356" s="2">
        <f>IF(OR(L356="",H356=""),"",IF((L356="met")=(H356="met"),1,0))</f>
        <v/>
      </c>
      <c r="P356" s="2">
        <f>IF(OR(M356="",H356=""),"",IF((M356="met")=(H356="met"),1,0))</f>
        <v/>
      </c>
    </row>
    <row r="357">
      <c r="A357" s="2" t="inlineStr">
        <is>
          <t>C10-14</t>
        </is>
      </c>
      <c r="B357" s="2">
        <f>Key!B357</f>
        <v/>
      </c>
      <c r="C357" s="2">
        <f>Key!C357</f>
        <v/>
      </c>
      <c r="D357" s="2">
        <f>IF(Key!D357="","",Key!D357)</f>
        <v/>
      </c>
      <c r="E357" s="2">
        <f>IF(Label_ChatGPT!F240="","",Label_ChatGPT!F240)</f>
        <v/>
      </c>
      <c r="F357" s="2">
        <f>IF(Label_ChatGPT!G240="","",Label_ChatGPT!G240)</f>
        <v/>
      </c>
      <c r="G357" s="5" t="n"/>
      <c r="H357" s="2">
        <f>IF(G357&lt;&gt;"",G357,IF(AND(E357&lt;&gt;"",E357=F357,E357&lt;&gt;"unsure"),E357,""))</f>
        <v/>
      </c>
      <c r="I357" s="2">
        <f>IF(AND(OR(E357="met",E357="not_met"),OR(F357="met",F357="not_met")),1,0)</f>
        <v/>
      </c>
      <c r="J357" s="2">
        <f>IF(I357=1,IF(E357=F357,1,0),"")</f>
        <v/>
      </c>
      <c r="K357" s="2" t="n"/>
      <c r="L357" s="2" t="n"/>
      <c r="M357" s="2" t="n"/>
      <c r="N357" s="2">
        <f>IF(OR(K357="",H357=""),"",IF((K357="met")=(H357="met"),1,0))</f>
        <v/>
      </c>
      <c r="O357" s="2">
        <f>IF(OR(L357="",H357=""),"",IF((L357="met")=(H357="met"),1,0))</f>
        <v/>
      </c>
      <c r="P357" s="2">
        <f>IF(OR(M357="",H357=""),"",IF((M357="met")=(H357="met"),1,0))</f>
        <v/>
      </c>
    </row>
    <row r="358">
      <c r="A358" s="2" t="inlineStr">
        <is>
          <t>C10-15</t>
        </is>
      </c>
      <c r="B358" s="2">
        <f>Key!B358</f>
        <v/>
      </c>
      <c r="C358" s="2">
        <f>Key!C358</f>
        <v/>
      </c>
      <c r="D358" s="2">
        <f>IF(Key!D358="","",Key!D358)</f>
        <v/>
      </c>
      <c r="E358" s="2">
        <f>IF(Label_ChatGPT!F241="","",Label_ChatGPT!F241)</f>
        <v/>
      </c>
      <c r="F358" s="2">
        <f>IF(Label_ChatGPT!G241="","",Label_ChatGPT!G241)</f>
        <v/>
      </c>
      <c r="G358" s="5" t="n"/>
      <c r="H358" s="2">
        <f>IF(G358&lt;&gt;"",G358,IF(AND(E358&lt;&gt;"",E358=F358,E358&lt;&gt;"unsure"),E358,""))</f>
        <v/>
      </c>
      <c r="I358" s="2">
        <f>IF(AND(OR(E358="met",E358="not_met"),OR(F358="met",F358="not_met")),1,0)</f>
        <v/>
      </c>
      <c r="J358" s="2">
        <f>IF(I358=1,IF(E358=F358,1,0),"")</f>
        <v/>
      </c>
      <c r="K358" s="2" t="n"/>
      <c r="L358" s="2" t="n"/>
      <c r="M358" s="2" t="n"/>
      <c r="N358" s="2">
        <f>IF(OR(K358="",H358=""),"",IF((K358="met")=(H358="met"),1,0))</f>
        <v/>
      </c>
      <c r="O358" s="2">
        <f>IF(OR(L358="",H358=""),"",IF((L358="met")=(H358="met"),1,0))</f>
        <v/>
      </c>
      <c r="P358" s="2">
        <f>IF(OR(M358="",H358=""),"",IF((M358="met")=(H358="met"),1,0))</f>
        <v/>
      </c>
    </row>
    <row r="359">
      <c r="A359" s="2" t="inlineStr">
        <is>
          <t>C10-16</t>
        </is>
      </c>
      <c r="B359" s="2">
        <f>Key!B359</f>
        <v/>
      </c>
      <c r="C359" s="2">
        <f>Key!C359</f>
        <v/>
      </c>
      <c r="D359" s="2">
        <f>IF(Key!D359="","",Key!D359)</f>
        <v/>
      </c>
      <c r="E359" s="2">
        <f>IF(Label_ChatGPT!F242="","",Label_ChatGPT!F242)</f>
        <v/>
      </c>
      <c r="F359" s="2">
        <f>IF(Label_ChatGPT!G242="","",Label_ChatGPT!G242)</f>
        <v/>
      </c>
      <c r="G359" s="5" t="n"/>
      <c r="H359" s="2">
        <f>IF(G359&lt;&gt;"",G359,IF(AND(E359&lt;&gt;"",E359=F359,E359&lt;&gt;"unsure"),E359,""))</f>
        <v/>
      </c>
      <c r="I359" s="2">
        <f>IF(AND(OR(E359="met",E359="not_met"),OR(F359="met",F359="not_met")),1,0)</f>
        <v/>
      </c>
      <c r="J359" s="2">
        <f>IF(I359=1,IF(E359=F359,1,0),"")</f>
        <v/>
      </c>
      <c r="K359" s="2" t="n"/>
      <c r="L359" s="2" t="n"/>
      <c r="M359" s="2" t="n"/>
      <c r="N359" s="2">
        <f>IF(OR(K359="",H359=""),"",IF((K359="met")=(H359="met"),1,0))</f>
        <v/>
      </c>
      <c r="O359" s="2">
        <f>IF(OR(L359="",H359=""),"",IF((L359="met")=(H359="met"),1,0))</f>
        <v/>
      </c>
      <c r="P359" s="2">
        <f>IF(OR(M359="",H359=""),"",IF((M359="met")=(H359="met"),1,0))</f>
        <v/>
      </c>
    </row>
    <row r="360">
      <c r="A360" s="2" t="inlineStr">
        <is>
          <t>C10-17</t>
        </is>
      </c>
      <c r="B360" s="2">
        <f>Key!B360</f>
        <v/>
      </c>
      <c r="C360" s="2">
        <f>Key!C360</f>
        <v/>
      </c>
      <c r="D360" s="2">
        <f>IF(Key!D360="","",Key!D360)</f>
        <v/>
      </c>
      <c r="E360" s="2">
        <f>IF(Label_ChatGPT!F243="","",Label_ChatGPT!F243)</f>
        <v/>
      </c>
      <c r="F360" s="2">
        <f>IF(Label_ChatGPT!G243="","",Label_ChatGPT!G243)</f>
        <v/>
      </c>
      <c r="G360" s="5" t="n"/>
      <c r="H360" s="2">
        <f>IF(G360&lt;&gt;"",G360,IF(AND(E360&lt;&gt;"",E360=F360,E360&lt;&gt;"unsure"),E360,""))</f>
        <v/>
      </c>
      <c r="I360" s="2">
        <f>IF(AND(OR(E360="met",E360="not_met"),OR(F360="met",F360="not_met")),1,0)</f>
        <v/>
      </c>
      <c r="J360" s="2">
        <f>IF(I360=1,IF(E360=F360,1,0),"")</f>
        <v/>
      </c>
      <c r="K360" s="2" t="n"/>
      <c r="L360" s="2" t="n"/>
      <c r="M360" s="2" t="n"/>
      <c r="N360" s="2">
        <f>IF(OR(K360="",H360=""),"",IF((K360="met")=(H360="met"),1,0))</f>
        <v/>
      </c>
      <c r="O360" s="2">
        <f>IF(OR(L360="",H360=""),"",IF((L360="met")=(H360="met"),1,0))</f>
        <v/>
      </c>
      <c r="P360" s="2">
        <f>IF(OR(M360="",H360=""),"",IF((M360="met")=(H360="met"),1,0))</f>
        <v/>
      </c>
    </row>
    <row r="361">
      <c r="A361" s="2" t="inlineStr">
        <is>
          <t>C10-18</t>
        </is>
      </c>
      <c r="B361" s="2">
        <f>Key!B361</f>
        <v/>
      </c>
      <c r="C361" s="2">
        <f>Key!C361</f>
        <v/>
      </c>
      <c r="D361" s="2">
        <f>IF(Key!D361="","",Key!D361)</f>
        <v/>
      </c>
      <c r="E361" s="2">
        <f>IF(Label_ChatGPT!F244="","",Label_ChatGPT!F244)</f>
        <v/>
      </c>
      <c r="F361" s="2">
        <f>IF(Label_ChatGPT!G244="","",Label_ChatGPT!G244)</f>
        <v/>
      </c>
      <c r="G361" s="5" t="n"/>
      <c r="H361" s="2">
        <f>IF(G361&lt;&gt;"",G361,IF(AND(E361&lt;&gt;"",E361=F361,E361&lt;&gt;"unsure"),E361,""))</f>
        <v/>
      </c>
      <c r="I361" s="2">
        <f>IF(AND(OR(E361="met",E361="not_met"),OR(F361="met",F361="not_met")),1,0)</f>
        <v/>
      </c>
      <c r="J361" s="2">
        <f>IF(I361=1,IF(E361=F361,1,0),"")</f>
        <v/>
      </c>
      <c r="K361" s="2" t="n"/>
      <c r="L361" s="2" t="n"/>
      <c r="M361" s="2" t="n"/>
      <c r="N361" s="2">
        <f>IF(OR(K361="",H361=""),"",IF((K361="met")=(H361="met"),1,0))</f>
        <v/>
      </c>
      <c r="O361" s="2">
        <f>IF(OR(L361="",H361=""),"",IF((L361="met")=(H361="met"),1,0))</f>
        <v/>
      </c>
      <c r="P361" s="2">
        <f>IF(OR(M361="",H361=""),"",IF((M361="met")=(H361="met"),1,0))</f>
        <v/>
      </c>
    </row>
    <row r="362">
      <c r="A362" s="2" t="inlineStr">
        <is>
          <t>C10-19</t>
        </is>
      </c>
      <c r="B362" s="2">
        <f>Key!B362</f>
        <v/>
      </c>
      <c r="C362" s="2">
        <f>Key!C362</f>
        <v/>
      </c>
      <c r="D362" s="2">
        <f>IF(Key!D362="","",Key!D362)</f>
        <v/>
      </c>
      <c r="E362" s="2">
        <f>IF(Label_ChatGPT!F245="","",Label_ChatGPT!F245)</f>
        <v/>
      </c>
      <c r="F362" s="2">
        <f>IF(Label_ChatGPT!G245="","",Label_ChatGPT!G245)</f>
        <v/>
      </c>
      <c r="G362" s="5" t="n"/>
      <c r="H362" s="2">
        <f>IF(G362&lt;&gt;"",G362,IF(AND(E362&lt;&gt;"",E362=F362,E362&lt;&gt;"unsure"),E362,""))</f>
        <v/>
      </c>
      <c r="I362" s="2">
        <f>IF(AND(OR(E362="met",E362="not_met"),OR(F362="met",F362="not_met")),1,0)</f>
        <v/>
      </c>
      <c r="J362" s="2">
        <f>IF(I362=1,IF(E362=F362,1,0),"")</f>
        <v/>
      </c>
      <c r="K362" s="2" t="n"/>
      <c r="L362" s="2" t="n"/>
      <c r="M362" s="2" t="n"/>
      <c r="N362" s="2">
        <f>IF(OR(K362="",H362=""),"",IF((K362="met")=(H362="met"),1,0))</f>
        <v/>
      </c>
      <c r="O362" s="2">
        <f>IF(OR(L362="",H362=""),"",IF((L362="met")=(H362="met"),1,0))</f>
        <v/>
      </c>
      <c r="P362" s="2">
        <f>IF(OR(M362="",H362=""),"",IF((M362="met")=(H362="met"),1,0))</f>
        <v/>
      </c>
    </row>
    <row r="363">
      <c r="A363" s="2" t="inlineStr">
        <is>
          <t>C10-20</t>
        </is>
      </c>
      <c r="B363" s="2">
        <f>Key!B363</f>
        <v/>
      </c>
      <c r="C363" s="2">
        <f>Key!C363</f>
        <v/>
      </c>
      <c r="D363" s="2">
        <f>IF(Key!D363="","",Key!D363)</f>
        <v/>
      </c>
      <c r="E363" s="2">
        <f>IF(Label_ChatGPT!F246="","",Label_ChatGPT!F246)</f>
        <v/>
      </c>
      <c r="F363" s="2">
        <f>IF(Label_ChatGPT!G246="","",Label_ChatGPT!G246)</f>
        <v/>
      </c>
      <c r="G363" s="5" t="n"/>
      <c r="H363" s="2">
        <f>IF(G363&lt;&gt;"",G363,IF(AND(E363&lt;&gt;"",E363=F363,E363&lt;&gt;"unsure"),E363,""))</f>
        <v/>
      </c>
      <c r="I363" s="2">
        <f>IF(AND(OR(E363="met",E363="not_met"),OR(F363="met",F363="not_met")),1,0)</f>
        <v/>
      </c>
      <c r="J363" s="2">
        <f>IF(I363=1,IF(E363=F363,1,0),"")</f>
        <v/>
      </c>
      <c r="K363" s="2" t="n"/>
      <c r="L363" s="2" t="n"/>
      <c r="M363" s="2" t="n"/>
      <c r="N363" s="2">
        <f>IF(OR(K363="",H363=""),"",IF((K363="met")=(H363="met"),1,0))</f>
        <v/>
      </c>
      <c r="O363" s="2">
        <f>IF(OR(L363="",H363=""),"",IF((L363="met")=(H363="met"),1,0))</f>
        <v/>
      </c>
      <c r="P363" s="2">
        <f>IF(OR(M363="",H363=""),"",IF((M363="met")=(H363="met"),1,0))</f>
        <v/>
      </c>
    </row>
    <row r="364">
      <c r="A364" s="2" t="inlineStr">
        <is>
          <t>C10-21</t>
        </is>
      </c>
      <c r="B364" s="2">
        <f>Key!B364</f>
        <v/>
      </c>
      <c r="C364" s="2">
        <f>Key!C364</f>
        <v/>
      </c>
      <c r="D364" s="2">
        <f>IF(Key!D364="","",Key!D364)</f>
        <v/>
      </c>
      <c r="E364" s="2">
        <f>IF(Label_ChatGPT!F247="","",Label_ChatGPT!F247)</f>
        <v/>
      </c>
      <c r="F364" s="2">
        <f>IF(Label_ChatGPT!G247="","",Label_ChatGPT!G247)</f>
        <v/>
      </c>
      <c r="G364" s="5" t="n"/>
      <c r="H364" s="2">
        <f>IF(G364&lt;&gt;"",G364,IF(AND(E364&lt;&gt;"",E364=F364,E364&lt;&gt;"unsure"),E364,""))</f>
        <v/>
      </c>
      <c r="I364" s="2">
        <f>IF(AND(OR(E364="met",E364="not_met"),OR(F364="met",F364="not_met")),1,0)</f>
        <v/>
      </c>
      <c r="J364" s="2">
        <f>IF(I364=1,IF(E364=F364,1,0),"")</f>
        <v/>
      </c>
      <c r="K364" s="2" t="n"/>
      <c r="L364" s="2" t="n"/>
      <c r="M364" s="2" t="n"/>
      <c r="N364" s="2">
        <f>IF(OR(K364="",H364=""),"",IF((K364="met")=(H364="met"),1,0))</f>
        <v/>
      </c>
      <c r="O364" s="2">
        <f>IF(OR(L364="",H364=""),"",IF((L364="met")=(H364="met"),1,0))</f>
        <v/>
      </c>
      <c r="P364" s="2">
        <f>IF(OR(M364="",H364=""),"",IF((M364="met")=(H364="met"),1,0))</f>
        <v/>
      </c>
    </row>
    <row r="365">
      <c r="A365" s="2" t="inlineStr">
        <is>
          <t>C10-22</t>
        </is>
      </c>
      <c r="B365" s="2">
        <f>Key!B365</f>
        <v/>
      </c>
      <c r="C365" s="2">
        <f>Key!C365</f>
        <v/>
      </c>
      <c r="D365" s="2">
        <f>IF(Key!D365="","",Key!D365)</f>
        <v/>
      </c>
      <c r="E365" s="2">
        <f>IF(Label_ChatGPT!F248="","",Label_ChatGPT!F248)</f>
        <v/>
      </c>
      <c r="F365" s="2">
        <f>IF(Label_ChatGPT!G248="","",Label_ChatGPT!G248)</f>
        <v/>
      </c>
      <c r="G365" s="5" t="n"/>
      <c r="H365" s="2">
        <f>IF(G365&lt;&gt;"",G365,IF(AND(E365&lt;&gt;"",E365=F365,E365&lt;&gt;"unsure"),E365,""))</f>
        <v/>
      </c>
      <c r="I365" s="2">
        <f>IF(AND(OR(E365="met",E365="not_met"),OR(F365="met",F365="not_met")),1,0)</f>
        <v/>
      </c>
      <c r="J365" s="2">
        <f>IF(I365=1,IF(E365=F365,1,0),"")</f>
        <v/>
      </c>
      <c r="K365" s="2" t="n"/>
      <c r="L365" s="2" t="n"/>
      <c r="M365" s="2" t="n"/>
      <c r="N365" s="2">
        <f>IF(OR(K365="",H365=""),"",IF((K365="met")=(H365="met"),1,0))</f>
        <v/>
      </c>
      <c r="O365" s="2">
        <f>IF(OR(L365="",H365=""),"",IF((L365="met")=(H365="met"),1,0))</f>
        <v/>
      </c>
      <c r="P365" s="2">
        <f>IF(OR(M365="",H365=""),"",IF((M365="met")=(H365="met"),1,0))</f>
        <v/>
      </c>
    </row>
    <row r="366">
      <c r="A366" s="2" t="inlineStr">
        <is>
          <t>C10-23</t>
        </is>
      </c>
      <c r="B366" s="2">
        <f>Key!B366</f>
        <v/>
      </c>
      <c r="C366" s="2">
        <f>Key!C366</f>
        <v/>
      </c>
      <c r="D366" s="2">
        <f>IF(Key!D366="","",Key!D366)</f>
        <v/>
      </c>
      <c r="E366" s="2">
        <f>IF(Label_ChatGPT!F249="","",Label_ChatGPT!F249)</f>
        <v/>
      </c>
      <c r="F366" s="2">
        <f>IF(Label_ChatGPT!G249="","",Label_ChatGPT!G249)</f>
        <v/>
      </c>
      <c r="G366" s="5" t="n"/>
      <c r="H366" s="2">
        <f>IF(G366&lt;&gt;"",G366,IF(AND(E366&lt;&gt;"",E366=F366,E366&lt;&gt;"unsure"),E366,""))</f>
        <v/>
      </c>
      <c r="I366" s="2">
        <f>IF(AND(OR(E366="met",E366="not_met"),OR(F366="met",F366="not_met")),1,0)</f>
        <v/>
      </c>
      <c r="J366" s="2">
        <f>IF(I366=1,IF(E366=F366,1,0),"")</f>
        <v/>
      </c>
      <c r="K366" s="2" t="n"/>
      <c r="L366" s="2" t="n"/>
      <c r="M366" s="2" t="n"/>
      <c r="N366" s="2">
        <f>IF(OR(K366="",H366=""),"",IF((K366="met")=(H366="met"),1,0))</f>
        <v/>
      </c>
      <c r="O366" s="2">
        <f>IF(OR(L366="",H366=""),"",IF((L366="met")=(H366="met"),1,0))</f>
        <v/>
      </c>
      <c r="P366" s="2">
        <f>IF(OR(M366="",H366=""),"",IF((M366="met")=(H366="met"),1,0))</f>
        <v/>
      </c>
    </row>
    <row r="367">
      <c r="A367" s="2" t="inlineStr">
        <is>
          <t>C10-24</t>
        </is>
      </c>
      <c r="B367" s="2">
        <f>Key!B367</f>
        <v/>
      </c>
      <c r="C367" s="2">
        <f>Key!C367</f>
        <v/>
      </c>
      <c r="D367" s="2">
        <f>IF(Key!D367="","",Key!D367)</f>
        <v/>
      </c>
      <c r="E367" s="2">
        <f>IF(Label_ChatGPT!F250="","",Label_ChatGPT!F250)</f>
        <v/>
      </c>
      <c r="F367" s="2">
        <f>IF(Label_ChatGPT!G250="","",Label_ChatGPT!G250)</f>
        <v/>
      </c>
      <c r="G367" s="5" t="n"/>
      <c r="H367" s="2">
        <f>IF(G367&lt;&gt;"",G367,IF(AND(E367&lt;&gt;"",E367=F367,E367&lt;&gt;"unsure"),E367,""))</f>
        <v/>
      </c>
      <c r="I367" s="2">
        <f>IF(AND(OR(E367="met",E367="not_met"),OR(F367="met",F367="not_met")),1,0)</f>
        <v/>
      </c>
      <c r="J367" s="2">
        <f>IF(I367=1,IF(E367=F367,1,0),"")</f>
        <v/>
      </c>
      <c r="K367" s="2" t="n"/>
      <c r="L367" s="2" t="n"/>
      <c r="M367" s="2" t="n"/>
      <c r="N367" s="2">
        <f>IF(OR(K367="",H367=""),"",IF((K367="met")=(H367="met"),1,0))</f>
        <v/>
      </c>
      <c r="O367" s="2">
        <f>IF(OR(L367="",H367=""),"",IF((L367="met")=(H367="met"),1,0))</f>
        <v/>
      </c>
      <c r="P367" s="2">
        <f>IF(OR(M367="",H367=""),"",IF((M367="met")=(H367="met"),1,0))</f>
        <v/>
      </c>
    </row>
    <row r="368">
      <c r="A368" s="2" t="inlineStr">
        <is>
          <t>C10-25</t>
        </is>
      </c>
      <c r="B368" s="2">
        <f>Key!B368</f>
        <v/>
      </c>
      <c r="C368" s="2">
        <f>Key!C368</f>
        <v/>
      </c>
      <c r="D368" s="2">
        <f>IF(Key!D368="","",Key!D368)</f>
        <v/>
      </c>
      <c r="E368" s="2">
        <f>IF(Label_ChatGPT!F251="","",Label_ChatGPT!F251)</f>
        <v/>
      </c>
      <c r="F368" s="2">
        <f>IF(Label_ChatGPT!G251="","",Label_ChatGPT!G251)</f>
        <v/>
      </c>
      <c r="G368" s="5" t="n"/>
      <c r="H368" s="2">
        <f>IF(G368&lt;&gt;"",G368,IF(AND(E368&lt;&gt;"",E368=F368,E368&lt;&gt;"unsure"),E368,""))</f>
        <v/>
      </c>
      <c r="I368" s="2">
        <f>IF(AND(OR(E368="met",E368="not_met"),OR(F368="met",F368="not_met")),1,0)</f>
        <v/>
      </c>
      <c r="J368" s="2">
        <f>IF(I368=1,IF(E368=F368,1,0),"")</f>
        <v/>
      </c>
      <c r="K368" s="2" t="n"/>
      <c r="L368" s="2" t="n"/>
      <c r="M368" s="2" t="n"/>
      <c r="N368" s="2">
        <f>IF(OR(K368="",H368=""),"",IF((K368="met")=(H368="met"),1,0))</f>
        <v/>
      </c>
      <c r="O368" s="2">
        <f>IF(OR(L368="",H368=""),"",IF((L368="met")=(H368="met"),1,0))</f>
        <v/>
      </c>
      <c r="P368" s="2">
        <f>IF(OR(M368="",H368=""),"",IF((M368="met")=(H368="met"),1,0))</f>
        <v/>
      </c>
    </row>
    <row r="369">
      <c r="A369" s="2" t="inlineStr">
        <is>
          <t>C10-26</t>
        </is>
      </c>
      <c r="B369" s="2">
        <f>Key!B369</f>
        <v/>
      </c>
      <c r="C369" s="2">
        <f>Key!C369</f>
        <v/>
      </c>
      <c r="D369" s="2">
        <f>IF(Key!D369="","",Key!D369)</f>
        <v/>
      </c>
      <c r="E369" s="2">
        <f>IF(Label_ChatGPT!F252="","",Label_ChatGPT!F252)</f>
        <v/>
      </c>
      <c r="F369" s="2">
        <f>IF(Label_ChatGPT!G252="","",Label_ChatGPT!G252)</f>
        <v/>
      </c>
      <c r="G369" s="5" t="n"/>
      <c r="H369" s="2">
        <f>IF(G369&lt;&gt;"",G369,IF(AND(E369&lt;&gt;"",E369=F369,E369&lt;&gt;"unsure"),E369,""))</f>
        <v/>
      </c>
      <c r="I369" s="2">
        <f>IF(AND(OR(E369="met",E369="not_met"),OR(F369="met",F369="not_met")),1,0)</f>
        <v/>
      </c>
      <c r="J369" s="2">
        <f>IF(I369=1,IF(E369=F369,1,0),"")</f>
        <v/>
      </c>
      <c r="K369" s="2" t="n"/>
      <c r="L369" s="2" t="n"/>
      <c r="M369" s="2" t="n"/>
      <c r="N369" s="2">
        <f>IF(OR(K369="",H369=""),"",IF((K369="met")=(H369="met"),1,0))</f>
        <v/>
      </c>
      <c r="O369" s="2">
        <f>IF(OR(L369="",H369=""),"",IF((L369="met")=(H369="met"),1,0))</f>
        <v/>
      </c>
      <c r="P369" s="2">
        <f>IF(OR(M369="",H369=""),"",IF((M369="met")=(H369="met"),1,0))</f>
        <v/>
      </c>
    </row>
    <row r="370">
      <c r="A370" s="2" t="inlineStr">
        <is>
          <t>C10-27</t>
        </is>
      </c>
      <c r="B370" s="2">
        <f>Key!B370</f>
        <v/>
      </c>
      <c r="C370" s="2">
        <f>Key!C370</f>
        <v/>
      </c>
      <c r="D370" s="2">
        <f>IF(Key!D370="","",Key!D370)</f>
        <v/>
      </c>
      <c r="E370" s="2">
        <f>IF(Label_ChatGPT!F253="","",Label_ChatGPT!F253)</f>
        <v/>
      </c>
      <c r="F370" s="2">
        <f>IF(Label_ChatGPT!G253="","",Label_ChatGPT!G253)</f>
        <v/>
      </c>
      <c r="G370" s="5" t="n"/>
      <c r="H370" s="2">
        <f>IF(G370&lt;&gt;"",G370,IF(AND(E370&lt;&gt;"",E370=F370,E370&lt;&gt;"unsure"),E370,""))</f>
        <v/>
      </c>
      <c r="I370" s="2">
        <f>IF(AND(OR(E370="met",E370="not_met"),OR(F370="met",F370="not_met")),1,0)</f>
        <v/>
      </c>
      <c r="J370" s="2">
        <f>IF(I370=1,IF(E370=F370,1,0),"")</f>
        <v/>
      </c>
      <c r="K370" s="2" t="n"/>
      <c r="L370" s="2" t="n"/>
      <c r="M370" s="2" t="n"/>
      <c r="N370" s="2">
        <f>IF(OR(K370="",H370=""),"",IF((K370="met")=(H370="met"),1,0))</f>
        <v/>
      </c>
      <c r="O370" s="2">
        <f>IF(OR(L370="",H370=""),"",IF((L370="met")=(H370="met"),1,0))</f>
        <v/>
      </c>
      <c r="P370" s="2">
        <f>IF(OR(M370="",H370=""),"",IF((M370="met")=(H370="met"),1,0))</f>
        <v/>
      </c>
    </row>
    <row r="371">
      <c r="A371" s="2" t="inlineStr">
        <is>
          <t>C10-28</t>
        </is>
      </c>
      <c r="B371" s="2">
        <f>Key!B371</f>
        <v/>
      </c>
      <c r="C371" s="2">
        <f>Key!C371</f>
        <v/>
      </c>
      <c r="D371" s="2">
        <f>IF(Key!D371="","",Key!D371)</f>
        <v/>
      </c>
      <c r="E371" s="2">
        <f>IF(Label_ChatGPT!F254="","",Label_ChatGPT!F254)</f>
        <v/>
      </c>
      <c r="F371" s="2">
        <f>IF(Label_ChatGPT!G254="","",Label_ChatGPT!G254)</f>
        <v/>
      </c>
      <c r="G371" s="5" t="n"/>
      <c r="H371" s="2">
        <f>IF(G371&lt;&gt;"",G371,IF(AND(E371&lt;&gt;"",E371=F371,E371&lt;&gt;"unsure"),E371,""))</f>
        <v/>
      </c>
      <c r="I371" s="2">
        <f>IF(AND(OR(E371="met",E371="not_met"),OR(F371="met",F371="not_met")),1,0)</f>
        <v/>
      </c>
      <c r="J371" s="2">
        <f>IF(I371=1,IF(E371=F371,1,0),"")</f>
        <v/>
      </c>
      <c r="K371" s="2" t="n"/>
      <c r="L371" s="2" t="n"/>
      <c r="M371" s="2" t="n"/>
      <c r="N371" s="2">
        <f>IF(OR(K371="",H371=""),"",IF((K371="met")=(H371="met"),1,0))</f>
        <v/>
      </c>
      <c r="O371" s="2">
        <f>IF(OR(L371="",H371=""),"",IF((L371="met")=(H371="met"),1,0))</f>
        <v/>
      </c>
      <c r="P371" s="2">
        <f>IF(OR(M371="",H371=""),"",IF((M371="met")=(H371="met"),1,0))</f>
        <v/>
      </c>
    </row>
    <row r="372">
      <c r="A372" s="2" t="inlineStr">
        <is>
          <t>C10-29</t>
        </is>
      </c>
      <c r="B372" s="2">
        <f>Key!B372</f>
        <v/>
      </c>
      <c r="C372" s="2">
        <f>Key!C372</f>
        <v/>
      </c>
      <c r="D372" s="2">
        <f>IF(Key!D372="","",Key!D372)</f>
        <v/>
      </c>
      <c r="E372" s="2">
        <f>IF(Label_ChatGPT!F255="","",Label_ChatGPT!F255)</f>
        <v/>
      </c>
      <c r="F372" s="2">
        <f>IF(Label_ChatGPT!G255="","",Label_ChatGPT!G255)</f>
        <v/>
      </c>
      <c r="G372" s="5" t="n"/>
      <c r="H372" s="2">
        <f>IF(G372&lt;&gt;"",G372,IF(AND(E372&lt;&gt;"",E372=F372,E372&lt;&gt;"unsure"),E372,""))</f>
        <v/>
      </c>
      <c r="I372" s="2">
        <f>IF(AND(OR(E372="met",E372="not_met"),OR(F372="met",F372="not_met")),1,0)</f>
        <v/>
      </c>
      <c r="J372" s="2">
        <f>IF(I372=1,IF(E372=F372,1,0),"")</f>
        <v/>
      </c>
      <c r="K372" s="2" t="n"/>
      <c r="L372" s="2" t="n"/>
      <c r="M372" s="2" t="n"/>
      <c r="N372" s="2">
        <f>IF(OR(K372="",H372=""),"",IF((K372="met")=(H372="met"),1,0))</f>
        <v/>
      </c>
      <c r="O372" s="2">
        <f>IF(OR(L372="",H372=""),"",IF((L372="met")=(H372="met"),1,0))</f>
        <v/>
      </c>
      <c r="P372" s="2">
        <f>IF(OR(M372="",H372=""),"",IF((M372="met")=(H372="met"),1,0))</f>
        <v/>
      </c>
    </row>
    <row r="373">
      <c r="A373" s="2" t="inlineStr">
        <is>
          <t>C10-30</t>
        </is>
      </c>
      <c r="B373" s="2">
        <f>Key!B373</f>
        <v/>
      </c>
      <c r="C373" s="2">
        <f>Key!C373</f>
        <v/>
      </c>
      <c r="D373" s="2">
        <f>IF(Key!D373="","",Key!D373)</f>
        <v/>
      </c>
      <c r="E373" s="2">
        <f>IF(Label_ChatGPT!F256="","",Label_ChatGPT!F256)</f>
        <v/>
      </c>
      <c r="F373" s="2">
        <f>IF(Label_ChatGPT!G256="","",Label_ChatGPT!G256)</f>
        <v/>
      </c>
      <c r="G373" s="5" t="n"/>
      <c r="H373" s="2">
        <f>IF(G373&lt;&gt;"",G373,IF(AND(E373&lt;&gt;"",E373=F373,E373&lt;&gt;"unsure"),E373,""))</f>
        <v/>
      </c>
      <c r="I373" s="2">
        <f>IF(AND(OR(E373="met",E373="not_met"),OR(F373="met",F373="not_met")),1,0)</f>
        <v/>
      </c>
      <c r="J373" s="2">
        <f>IF(I373=1,IF(E373=F373,1,0),"")</f>
        <v/>
      </c>
      <c r="K373" s="2" t="n"/>
      <c r="L373" s="2" t="n"/>
      <c r="M373" s="2" t="n"/>
      <c r="N373" s="2">
        <f>IF(OR(K373="",H373=""),"",IF((K373="met")=(H373="met"),1,0))</f>
        <v/>
      </c>
      <c r="O373" s="2">
        <f>IF(OR(L373="",H373=""),"",IF((L373="met")=(H373="met"),1,0))</f>
        <v/>
      </c>
      <c r="P373" s="2">
        <f>IF(OR(M373="",H373=""),"",IF((M373="met")=(H373="met"),1,0))</f>
        <v/>
      </c>
    </row>
    <row r="374">
      <c r="A374" s="2" t="inlineStr">
        <is>
          <t>C10-31</t>
        </is>
      </c>
      <c r="B374" s="2">
        <f>Key!B374</f>
        <v/>
      </c>
      <c r="C374" s="2">
        <f>Key!C374</f>
        <v/>
      </c>
      <c r="D374" s="2">
        <f>IF(Key!D374="","",Key!D374)</f>
        <v/>
      </c>
      <c r="E374" s="2">
        <f>IF(Label_ChatGPT!F257="","",Label_ChatGPT!F257)</f>
        <v/>
      </c>
      <c r="F374" s="2">
        <f>IF(Label_ChatGPT!G257="","",Label_ChatGPT!G257)</f>
        <v/>
      </c>
      <c r="G374" s="5" t="n"/>
      <c r="H374" s="2">
        <f>IF(G374&lt;&gt;"",G374,IF(AND(E374&lt;&gt;"",E374=F374,E374&lt;&gt;"unsure"),E374,""))</f>
        <v/>
      </c>
      <c r="I374" s="2">
        <f>IF(AND(OR(E374="met",E374="not_met"),OR(F374="met",F374="not_met")),1,0)</f>
        <v/>
      </c>
      <c r="J374" s="2">
        <f>IF(I374=1,IF(E374=F374,1,0),"")</f>
        <v/>
      </c>
      <c r="K374" s="2" t="n"/>
      <c r="L374" s="2" t="n"/>
      <c r="M374" s="2" t="n"/>
      <c r="N374" s="2">
        <f>IF(OR(K374="",H374=""),"",IF((K374="met")=(H374="met"),1,0))</f>
        <v/>
      </c>
      <c r="O374" s="2">
        <f>IF(OR(L374="",H374=""),"",IF((L374="met")=(H374="met"),1,0))</f>
        <v/>
      </c>
      <c r="P374" s="2">
        <f>IF(OR(M374="",H374=""),"",IF((M374="met")=(H374="met"),1,0))</f>
        <v/>
      </c>
    </row>
    <row r="375">
      <c r="A375" s="2" t="inlineStr">
        <is>
          <t>C10-32</t>
        </is>
      </c>
      <c r="B375" s="2">
        <f>Key!B375</f>
        <v/>
      </c>
      <c r="C375" s="2">
        <f>Key!C375</f>
        <v/>
      </c>
      <c r="D375" s="2">
        <f>IF(Key!D375="","",Key!D375)</f>
        <v/>
      </c>
      <c r="E375" s="2">
        <f>IF(Label_ChatGPT!F258="","",Label_ChatGPT!F258)</f>
        <v/>
      </c>
      <c r="F375" s="2">
        <f>IF(Label_ChatGPT!G258="","",Label_ChatGPT!G258)</f>
        <v/>
      </c>
      <c r="G375" s="5" t="n"/>
      <c r="H375" s="2">
        <f>IF(G375&lt;&gt;"",G375,IF(AND(E375&lt;&gt;"",E375=F375,E375&lt;&gt;"unsure"),E375,""))</f>
        <v/>
      </c>
      <c r="I375" s="2">
        <f>IF(AND(OR(E375="met",E375="not_met"),OR(F375="met",F375="not_met")),1,0)</f>
        <v/>
      </c>
      <c r="J375" s="2">
        <f>IF(I375=1,IF(E375=F375,1,0),"")</f>
        <v/>
      </c>
      <c r="K375" s="2" t="n"/>
      <c r="L375" s="2" t="n"/>
      <c r="M375" s="2" t="n"/>
      <c r="N375" s="2">
        <f>IF(OR(K375="",H375=""),"",IF((K375="met")=(H375="met"),1,0))</f>
        <v/>
      </c>
      <c r="O375" s="2">
        <f>IF(OR(L375="",H375=""),"",IF((L375="met")=(H375="met"),1,0))</f>
        <v/>
      </c>
      <c r="P375" s="2">
        <f>IF(OR(M375="",H375=""),"",IF((M375="met")=(H375="met"),1,0))</f>
        <v/>
      </c>
    </row>
    <row r="376">
      <c r="A376" s="2" t="inlineStr">
        <is>
          <t>C10-33</t>
        </is>
      </c>
      <c r="B376" s="2">
        <f>Key!B376</f>
        <v/>
      </c>
      <c r="C376" s="2">
        <f>Key!C376</f>
        <v/>
      </c>
      <c r="D376" s="2">
        <f>IF(Key!D376="","",Key!D376)</f>
        <v/>
      </c>
      <c r="E376" s="2">
        <f>IF(Label_ChatGPT!F259="","",Label_ChatGPT!F259)</f>
        <v/>
      </c>
      <c r="F376" s="2">
        <f>IF(Label_ChatGPT!G259="","",Label_ChatGPT!G259)</f>
        <v/>
      </c>
      <c r="G376" s="5" t="n"/>
      <c r="H376" s="2">
        <f>IF(G376&lt;&gt;"",G376,IF(AND(E376&lt;&gt;"",E376=F376,E376&lt;&gt;"unsure"),E376,""))</f>
        <v/>
      </c>
      <c r="I376" s="2">
        <f>IF(AND(OR(E376="met",E376="not_met"),OR(F376="met",F376="not_met")),1,0)</f>
        <v/>
      </c>
      <c r="J376" s="2">
        <f>IF(I376=1,IF(E376=F376,1,0),"")</f>
        <v/>
      </c>
      <c r="K376" s="2" t="n"/>
      <c r="L376" s="2" t="n"/>
      <c r="M376" s="2" t="n"/>
      <c r="N376" s="2">
        <f>IF(OR(K376="",H376=""),"",IF((K376="met")=(H376="met"),1,0))</f>
        <v/>
      </c>
      <c r="O376" s="2">
        <f>IF(OR(L376="",H376=""),"",IF((L376="met")=(H376="met"),1,0))</f>
        <v/>
      </c>
      <c r="P376" s="2">
        <f>IF(OR(M376="",H376=""),"",IF((M376="met")=(H376="met"),1,0))</f>
        <v/>
      </c>
    </row>
    <row r="377">
      <c r="A377" s="2" t="inlineStr">
        <is>
          <t>C11-01</t>
        </is>
      </c>
      <c r="B377" s="2">
        <f>Key!B377</f>
        <v/>
      </c>
      <c r="C377" s="2">
        <f>Key!C377</f>
        <v/>
      </c>
      <c r="D377" s="2">
        <f>IF(Key!D377="","",Key!D377)</f>
        <v/>
      </c>
      <c r="E377" s="2">
        <f>IF(Label_ChatGPT!F260="","",Label_ChatGPT!F260)</f>
        <v/>
      </c>
      <c r="F377" s="2">
        <f>IF(Label_ChatGPT!G260="","",Label_ChatGPT!G260)</f>
        <v/>
      </c>
      <c r="G377" s="5" t="n"/>
      <c r="H377" s="2">
        <f>IF(G377&lt;&gt;"",G377,IF(AND(E377&lt;&gt;"",E377=F377,E377&lt;&gt;"unsure"),E377,""))</f>
        <v/>
      </c>
      <c r="I377" s="2">
        <f>IF(AND(OR(E377="met",E377="not_met"),OR(F377="met",F377="not_met")),1,0)</f>
        <v/>
      </c>
      <c r="J377" s="2">
        <f>IF(I377=1,IF(E377=F377,1,0),"")</f>
        <v/>
      </c>
      <c r="K377" s="2" t="n"/>
      <c r="L377" s="2" t="n"/>
      <c r="M377" s="2" t="n"/>
      <c r="N377" s="2">
        <f>IF(OR(K377="",H377=""),"",IF((K377="met")=(H377="met"),1,0))</f>
        <v/>
      </c>
      <c r="O377" s="2">
        <f>IF(OR(L377="",H377=""),"",IF((L377="met")=(H377="met"),1,0))</f>
        <v/>
      </c>
      <c r="P377" s="2">
        <f>IF(OR(M377="",H377=""),"",IF((M377="met")=(H377="met"),1,0))</f>
        <v/>
      </c>
    </row>
    <row r="378">
      <c r="A378" s="2" t="inlineStr">
        <is>
          <t>C11-02</t>
        </is>
      </c>
      <c r="B378" s="2">
        <f>Key!B378</f>
        <v/>
      </c>
      <c r="C378" s="2">
        <f>Key!C378</f>
        <v/>
      </c>
      <c r="D378" s="2">
        <f>IF(Key!D378="","",Key!D378)</f>
        <v/>
      </c>
      <c r="E378" s="2">
        <f>IF(Label_ChatGPT!F261="","",Label_ChatGPT!F261)</f>
        <v/>
      </c>
      <c r="F378" s="2">
        <f>IF(Label_ChatGPT!G261="","",Label_ChatGPT!G261)</f>
        <v/>
      </c>
      <c r="G378" s="5" t="n"/>
      <c r="H378" s="2">
        <f>IF(G378&lt;&gt;"",G378,IF(AND(E378&lt;&gt;"",E378=F378,E378&lt;&gt;"unsure"),E378,""))</f>
        <v/>
      </c>
      <c r="I378" s="2">
        <f>IF(AND(OR(E378="met",E378="not_met"),OR(F378="met",F378="not_met")),1,0)</f>
        <v/>
      </c>
      <c r="J378" s="2">
        <f>IF(I378=1,IF(E378=F378,1,0),"")</f>
        <v/>
      </c>
      <c r="K378" s="2" t="n"/>
      <c r="L378" s="2" t="n"/>
      <c r="M378" s="2" t="n"/>
      <c r="N378" s="2">
        <f>IF(OR(K378="",H378=""),"",IF((K378="met")=(H378="met"),1,0))</f>
        <v/>
      </c>
      <c r="O378" s="2">
        <f>IF(OR(L378="",H378=""),"",IF((L378="met")=(H378="met"),1,0))</f>
        <v/>
      </c>
      <c r="P378" s="2">
        <f>IF(OR(M378="",H378=""),"",IF((M378="met")=(H378="met"),1,0))</f>
        <v/>
      </c>
    </row>
    <row r="379">
      <c r="A379" s="2" t="inlineStr">
        <is>
          <t>C11-03</t>
        </is>
      </c>
      <c r="B379" s="2">
        <f>Key!B379</f>
        <v/>
      </c>
      <c r="C379" s="2">
        <f>Key!C379</f>
        <v/>
      </c>
      <c r="D379" s="2">
        <f>IF(Key!D379="","",Key!D379)</f>
        <v/>
      </c>
      <c r="E379" s="2">
        <f>IF(Label_ChatGPT!F262="","",Label_ChatGPT!F262)</f>
        <v/>
      </c>
      <c r="F379" s="2">
        <f>IF(Label_ChatGPT!G262="","",Label_ChatGPT!G262)</f>
        <v/>
      </c>
      <c r="G379" s="5" t="n"/>
      <c r="H379" s="2">
        <f>IF(G379&lt;&gt;"",G379,IF(AND(E379&lt;&gt;"",E379=F379,E379&lt;&gt;"unsure"),E379,""))</f>
        <v/>
      </c>
      <c r="I379" s="2">
        <f>IF(AND(OR(E379="met",E379="not_met"),OR(F379="met",F379="not_met")),1,0)</f>
        <v/>
      </c>
      <c r="J379" s="2">
        <f>IF(I379=1,IF(E379=F379,1,0),"")</f>
        <v/>
      </c>
      <c r="K379" s="2" t="n"/>
      <c r="L379" s="2" t="n"/>
      <c r="M379" s="2" t="n"/>
      <c r="N379" s="2">
        <f>IF(OR(K379="",H379=""),"",IF((K379="met")=(H379="met"),1,0))</f>
        <v/>
      </c>
      <c r="O379" s="2">
        <f>IF(OR(L379="",H379=""),"",IF((L379="met")=(H379="met"),1,0))</f>
        <v/>
      </c>
      <c r="P379" s="2">
        <f>IF(OR(M379="",H379=""),"",IF((M379="met")=(H379="met"),1,0))</f>
        <v/>
      </c>
    </row>
    <row r="380">
      <c r="A380" s="2" t="inlineStr">
        <is>
          <t>C11-04</t>
        </is>
      </c>
      <c r="B380" s="2">
        <f>Key!B380</f>
        <v/>
      </c>
      <c r="C380" s="2">
        <f>Key!C380</f>
        <v/>
      </c>
      <c r="D380" s="2">
        <f>IF(Key!D380="","",Key!D380)</f>
        <v/>
      </c>
      <c r="E380" s="2">
        <f>IF(Label_ChatGPT!F263="","",Label_ChatGPT!F263)</f>
        <v/>
      </c>
      <c r="F380" s="2">
        <f>IF(Label_ChatGPT!G263="","",Label_ChatGPT!G263)</f>
        <v/>
      </c>
      <c r="G380" s="5" t="n"/>
      <c r="H380" s="2">
        <f>IF(G380&lt;&gt;"",G380,IF(AND(E380&lt;&gt;"",E380=F380,E380&lt;&gt;"unsure"),E380,""))</f>
        <v/>
      </c>
      <c r="I380" s="2">
        <f>IF(AND(OR(E380="met",E380="not_met"),OR(F380="met",F380="not_met")),1,0)</f>
        <v/>
      </c>
      <c r="J380" s="2">
        <f>IF(I380=1,IF(E380=F380,1,0),"")</f>
        <v/>
      </c>
      <c r="K380" s="2" t="n"/>
      <c r="L380" s="2" t="n"/>
      <c r="M380" s="2" t="n"/>
      <c r="N380" s="2">
        <f>IF(OR(K380="",H380=""),"",IF((K380="met")=(H380="met"),1,0))</f>
        <v/>
      </c>
      <c r="O380" s="2">
        <f>IF(OR(L380="",H380=""),"",IF((L380="met")=(H380="met"),1,0))</f>
        <v/>
      </c>
      <c r="P380" s="2">
        <f>IF(OR(M380="",H380=""),"",IF((M380="met")=(H380="met"),1,0))</f>
        <v/>
      </c>
    </row>
    <row r="381">
      <c r="A381" s="2" t="inlineStr">
        <is>
          <t>C11-05</t>
        </is>
      </c>
      <c r="B381" s="2">
        <f>Key!B381</f>
        <v/>
      </c>
      <c r="C381" s="2">
        <f>Key!C381</f>
        <v/>
      </c>
      <c r="D381" s="2">
        <f>IF(Key!D381="","",Key!D381)</f>
        <v/>
      </c>
      <c r="E381" s="2">
        <f>IF(Label_ChatGPT!F264="","",Label_ChatGPT!F264)</f>
        <v/>
      </c>
      <c r="F381" s="2">
        <f>IF(Label_ChatGPT!G264="","",Label_ChatGPT!G264)</f>
        <v/>
      </c>
      <c r="G381" s="5" t="n"/>
      <c r="H381" s="2">
        <f>IF(G381&lt;&gt;"",G381,IF(AND(E381&lt;&gt;"",E381=F381,E381&lt;&gt;"unsure"),E381,""))</f>
        <v/>
      </c>
      <c r="I381" s="2">
        <f>IF(AND(OR(E381="met",E381="not_met"),OR(F381="met",F381="not_met")),1,0)</f>
        <v/>
      </c>
      <c r="J381" s="2">
        <f>IF(I381=1,IF(E381=F381,1,0),"")</f>
        <v/>
      </c>
      <c r="K381" s="2" t="n"/>
      <c r="L381" s="2" t="n"/>
      <c r="M381" s="2" t="n"/>
      <c r="N381" s="2">
        <f>IF(OR(K381="",H381=""),"",IF((K381="met")=(H381="met"),1,0))</f>
        <v/>
      </c>
      <c r="O381" s="2">
        <f>IF(OR(L381="",H381=""),"",IF((L381="met")=(H381="met"),1,0))</f>
        <v/>
      </c>
      <c r="P381" s="2">
        <f>IF(OR(M381="",H381=""),"",IF((M381="met")=(H381="met"),1,0))</f>
        <v/>
      </c>
    </row>
    <row r="382">
      <c r="A382" s="2" t="inlineStr">
        <is>
          <t>C11-06</t>
        </is>
      </c>
      <c r="B382" s="2">
        <f>Key!B382</f>
        <v/>
      </c>
      <c r="C382" s="2">
        <f>Key!C382</f>
        <v/>
      </c>
      <c r="D382" s="2">
        <f>IF(Key!D382="","",Key!D382)</f>
        <v/>
      </c>
      <c r="E382" s="2">
        <f>IF(Label_ChatGPT!F265="","",Label_ChatGPT!F265)</f>
        <v/>
      </c>
      <c r="F382" s="2">
        <f>IF(Label_ChatGPT!G265="","",Label_ChatGPT!G265)</f>
        <v/>
      </c>
      <c r="G382" s="5" t="n"/>
      <c r="H382" s="2">
        <f>IF(G382&lt;&gt;"",G382,IF(AND(E382&lt;&gt;"",E382=F382,E382&lt;&gt;"unsure"),E382,""))</f>
        <v/>
      </c>
      <c r="I382" s="2">
        <f>IF(AND(OR(E382="met",E382="not_met"),OR(F382="met",F382="not_met")),1,0)</f>
        <v/>
      </c>
      <c r="J382" s="2">
        <f>IF(I382=1,IF(E382=F382,1,0),"")</f>
        <v/>
      </c>
      <c r="K382" s="2" t="n"/>
      <c r="L382" s="2" t="n"/>
      <c r="M382" s="2" t="n"/>
      <c r="N382" s="2">
        <f>IF(OR(K382="",H382=""),"",IF((K382="met")=(H382="met"),1,0))</f>
        <v/>
      </c>
      <c r="O382" s="2">
        <f>IF(OR(L382="",H382=""),"",IF((L382="met")=(H382="met"),1,0))</f>
        <v/>
      </c>
      <c r="P382" s="2">
        <f>IF(OR(M382="",H382=""),"",IF((M382="met")=(H382="met"),1,0))</f>
        <v/>
      </c>
    </row>
    <row r="383">
      <c r="A383" s="2" t="inlineStr">
        <is>
          <t>C11-07</t>
        </is>
      </c>
      <c r="B383" s="2">
        <f>Key!B383</f>
        <v/>
      </c>
      <c r="C383" s="2">
        <f>Key!C383</f>
        <v/>
      </c>
      <c r="D383" s="2">
        <f>IF(Key!D383="","",Key!D383)</f>
        <v/>
      </c>
      <c r="E383" s="2">
        <f>IF(Label_ChatGPT!F266="","",Label_ChatGPT!F266)</f>
        <v/>
      </c>
      <c r="F383" s="2">
        <f>IF(Label_ChatGPT!G266="","",Label_ChatGPT!G266)</f>
        <v/>
      </c>
      <c r="G383" s="5" t="n"/>
      <c r="H383" s="2">
        <f>IF(G383&lt;&gt;"",G383,IF(AND(E383&lt;&gt;"",E383=F383,E383&lt;&gt;"unsure"),E383,""))</f>
        <v/>
      </c>
      <c r="I383" s="2">
        <f>IF(AND(OR(E383="met",E383="not_met"),OR(F383="met",F383="not_met")),1,0)</f>
        <v/>
      </c>
      <c r="J383" s="2">
        <f>IF(I383=1,IF(E383=F383,1,0),"")</f>
        <v/>
      </c>
      <c r="K383" s="2" t="n"/>
      <c r="L383" s="2" t="n"/>
      <c r="M383" s="2" t="n"/>
      <c r="N383" s="2">
        <f>IF(OR(K383="",H383=""),"",IF((K383="met")=(H383="met"),1,0))</f>
        <v/>
      </c>
      <c r="O383" s="2">
        <f>IF(OR(L383="",H383=""),"",IF((L383="met")=(H383="met"),1,0))</f>
        <v/>
      </c>
      <c r="P383" s="2">
        <f>IF(OR(M383="",H383=""),"",IF((M383="met")=(H383="met"),1,0))</f>
        <v/>
      </c>
    </row>
    <row r="384">
      <c r="A384" s="2" t="inlineStr">
        <is>
          <t>C11-08</t>
        </is>
      </c>
      <c r="B384" s="2">
        <f>Key!B384</f>
        <v/>
      </c>
      <c r="C384" s="2">
        <f>Key!C384</f>
        <v/>
      </c>
      <c r="D384" s="2">
        <f>IF(Key!D384="","",Key!D384)</f>
        <v/>
      </c>
      <c r="E384" s="2">
        <f>IF(Label_ChatGPT!F267="","",Label_ChatGPT!F267)</f>
        <v/>
      </c>
      <c r="F384" s="2">
        <f>IF(Label_ChatGPT!G267="","",Label_ChatGPT!G267)</f>
        <v/>
      </c>
      <c r="G384" s="5" t="n"/>
      <c r="H384" s="2">
        <f>IF(G384&lt;&gt;"",G384,IF(AND(E384&lt;&gt;"",E384=F384,E384&lt;&gt;"unsure"),E384,""))</f>
        <v/>
      </c>
      <c r="I384" s="2">
        <f>IF(AND(OR(E384="met",E384="not_met"),OR(F384="met",F384="not_met")),1,0)</f>
        <v/>
      </c>
      <c r="J384" s="2">
        <f>IF(I384=1,IF(E384=F384,1,0),"")</f>
        <v/>
      </c>
      <c r="K384" s="2" t="n"/>
      <c r="L384" s="2" t="n"/>
      <c r="M384" s="2" t="n"/>
      <c r="N384" s="2">
        <f>IF(OR(K384="",H384=""),"",IF((K384="met")=(H384="met"),1,0))</f>
        <v/>
      </c>
      <c r="O384" s="2">
        <f>IF(OR(L384="",H384=""),"",IF((L384="met")=(H384="met"),1,0))</f>
        <v/>
      </c>
      <c r="P384" s="2">
        <f>IF(OR(M384="",H384=""),"",IF((M384="met")=(H384="met"),1,0))</f>
        <v/>
      </c>
    </row>
    <row r="385">
      <c r="A385" s="2" t="inlineStr">
        <is>
          <t>C11-09</t>
        </is>
      </c>
      <c r="B385" s="2">
        <f>Key!B385</f>
        <v/>
      </c>
      <c r="C385" s="2">
        <f>Key!C385</f>
        <v/>
      </c>
      <c r="D385" s="2">
        <f>IF(Key!D385="","",Key!D385)</f>
        <v/>
      </c>
      <c r="E385" s="2">
        <f>IF(Label_ChatGPT!F268="","",Label_ChatGPT!F268)</f>
        <v/>
      </c>
      <c r="F385" s="2">
        <f>IF(Label_ChatGPT!G268="","",Label_ChatGPT!G268)</f>
        <v/>
      </c>
      <c r="G385" s="5" t="n"/>
      <c r="H385" s="2">
        <f>IF(G385&lt;&gt;"",G385,IF(AND(E385&lt;&gt;"",E385=F385,E385&lt;&gt;"unsure"),E385,""))</f>
        <v/>
      </c>
      <c r="I385" s="2">
        <f>IF(AND(OR(E385="met",E385="not_met"),OR(F385="met",F385="not_met")),1,0)</f>
        <v/>
      </c>
      <c r="J385" s="2">
        <f>IF(I385=1,IF(E385=F385,1,0),"")</f>
        <v/>
      </c>
      <c r="K385" s="2" t="n"/>
      <c r="L385" s="2" t="n"/>
      <c r="M385" s="2" t="n"/>
      <c r="N385" s="2">
        <f>IF(OR(K385="",H385=""),"",IF((K385="met")=(H385="met"),1,0))</f>
        <v/>
      </c>
      <c r="O385" s="2">
        <f>IF(OR(L385="",H385=""),"",IF((L385="met")=(H385="met"),1,0))</f>
        <v/>
      </c>
      <c r="P385" s="2">
        <f>IF(OR(M385="",H385=""),"",IF((M385="met")=(H385="met"),1,0))</f>
        <v/>
      </c>
    </row>
    <row r="386">
      <c r="A386" s="2" t="inlineStr">
        <is>
          <t>C11-10</t>
        </is>
      </c>
      <c r="B386" s="2">
        <f>Key!B386</f>
        <v/>
      </c>
      <c r="C386" s="2">
        <f>Key!C386</f>
        <v/>
      </c>
      <c r="D386" s="2">
        <f>IF(Key!D386="","",Key!D386)</f>
        <v/>
      </c>
      <c r="E386" s="2">
        <f>IF(Label_ChatGPT!F269="","",Label_ChatGPT!F269)</f>
        <v/>
      </c>
      <c r="F386" s="2">
        <f>IF(Label_ChatGPT!G269="","",Label_ChatGPT!G269)</f>
        <v/>
      </c>
      <c r="G386" s="5" t="n"/>
      <c r="H386" s="2">
        <f>IF(G386&lt;&gt;"",G386,IF(AND(E386&lt;&gt;"",E386=F386,E386&lt;&gt;"unsure"),E386,""))</f>
        <v/>
      </c>
      <c r="I386" s="2">
        <f>IF(AND(OR(E386="met",E386="not_met"),OR(F386="met",F386="not_met")),1,0)</f>
        <v/>
      </c>
      <c r="J386" s="2">
        <f>IF(I386=1,IF(E386=F386,1,0),"")</f>
        <v/>
      </c>
      <c r="K386" s="2" t="n"/>
      <c r="L386" s="2" t="n"/>
      <c r="M386" s="2" t="n"/>
      <c r="N386" s="2">
        <f>IF(OR(K386="",H386=""),"",IF((K386="met")=(H386="met"),1,0))</f>
        <v/>
      </c>
      <c r="O386" s="2">
        <f>IF(OR(L386="",H386=""),"",IF((L386="met")=(H386="met"),1,0))</f>
        <v/>
      </c>
      <c r="P386" s="2">
        <f>IF(OR(M386="",H386=""),"",IF((M386="met")=(H386="met"),1,0))</f>
        <v/>
      </c>
    </row>
    <row r="387">
      <c r="A387" s="2" t="inlineStr">
        <is>
          <t>C11-11</t>
        </is>
      </c>
      <c r="B387" s="2">
        <f>Key!B387</f>
        <v/>
      </c>
      <c r="C387" s="2">
        <f>Key!C387</f>
        <v/>
      </c>
      <c r="D387" s="2">
        <f>IF(Key!D387="","",Key!D387)</f>
        <v/>
      </c>
      <c r="E387" s="2">
        <f>IF(Label_ChatGPT!F270="","",Label_ChatGPT!F270)</f>
        <v/>
      </c>
      <c r="F387" s="2">
        <f>IF(Label_ChatGPT!G270="","",Label_ChatGPT!G270)</f>
        <v/>
      </c>
      <c r="G387" s="5" t="n"/>
      <c r="H387" s="2">
        <f>IF(G387&lt;&gt;"",G387,IF(AND(E387&lt;&gt;"",E387=F387,E387&lt;&gt;"unsure"),E387,""))</f>
        <v/>
      </c>
      <c r="I387" s="2">
        <f>IF(AND(OR(E387="met",E387="not_met"),OR(F387="met",F387="not_met")),1,0)</f>
        <v/>
      </c>
      <c r="J387" s="2">
        <f>IF(I387=1,IF(E387=F387,1,0),"")</f>
        <v/>
      </c>
      <c r="K387" s="2" t="n"/>
      <c r="L387" s="2" t="n"/>
      <c r="M387" s="2" t="n"/>
      <c r="N387" s="2">
        <f>IF(OR(K387="",H387=""),"",IF((K387="met")=(H387="met"),1,0))</f>
        <v/>
      </c>
      <c r="O387" s="2">
        <f>IF(OR(L387="",H387=""),"",IF((L387="met")=(H387="met"),1,0))</f>
        <v/>
      </c>
      <c r="P387" s="2">
        <f>IF(OR(M387="",H387=""),"",IF((M387="met")=(H387="met"),1,0))</f>
        <v/>
      </c>
    </row>
    <row r="388">
      <c r="A388" s="2" t="inlineStr">
        <is>
          <t>C11-12</t>
        </is>
      </c>
      <c r="B388" s="2">
        <f>Key!B388</f>
        <v/>
      </c>
      <c r="C388" s="2">
        <f>Key!C388</f>
        <v/>
      </c>
      <c r="D388" s="2">
        <f>IF(Key!D388="","",Key!D388)</f>
        <v/>
      </c>
      <c r="E388" s="2">
        <f>IF(Label_ChatGPT!F271="","",Label_ChatGPT!F271)</f>
        <v/>
      </c>
      <c r="F388" s="2">
        <f>IF(Label_ChatGPT!G271="","",Label_ChatGPT!G271)</f>
        <v/>
      </c>
      <c r="G388" s="5" t="n"/>
      <c r="H388" s="2">
        <f>IF(G388&lt;&gt;"",G388,IF(AND(E388&lt;&gt;"",E388=F388,E388&lt;&gt;"unsure"),E388,""))</f>
        <v/>
      </c>
      <c r="I388" s="2">
        <f>IF(AND(OR(E388="met",E388="not_met"),OR(F388="met",F388="not_met")),1,0)</f>
        <v/>
      </c>
      <c r="J388" s="2">
        <f>IF(I388=1,IF(E388=F388,1,0),"")</f>
        <v/>
      </c>
      <c r="K388" s="2" t="n"/>
      <c r="L388" s="2" t="n"/>
      <c r="M388" s="2" t="n"/>
      <c r="N388" s="2">
        <f>IF(OR(K388="",H388=""),"",IF((K388="met")=(H388="met"),1,0))</f>
        <v/>
      </c>
      <c r="O388" s="2">
        <f>IF(OR(L388="",H388=""),"",IF((L388="met")=(H388="met"),1,0))</f>
        <v/>
      </c>
      <c r="P388" s="2">
        <f>IF(OR(M388="",H388=""),"",IF((M388="met")=(H388="met"),1,0))</f>
        <v/>
      </c>
    </row>
    <row r="389">
      <c r="A389" s="2" t="inlineStr">
        <is>
          <t>C11-13</t>
        </is>
      </c>
      <c r="B389" s="2">
        <f>Key!B389</f>
        <v/>
      </c>
      <c r="C389" s="2">
        <f>Key!C389</f>
        <v/>
      </c>
      <c r="D389" s="2">
        <f>IF(Key!D389="","",Key!D389)</f>
        <v/>
      </c>
      <c r="E389" s="2">
        <f>IF(Label_ChatGPT!F272="","",Label_ChatGPT!F272)</f>
        <v/>
      </c>
      <c r="F389" s="2">
        <f>IF(Label_ChatGPT!G272="","",Label_ChatGPT!G272)</f>
        <v/>
      </c>
      <c r="G389" s="5" t="n"/>
      <c r="H389" s="2">
        <f>IF(G389&lt;&gt;"",G389,IF(AND(E389&lt;&gt;"",E389=F389,E389&lt;&gt;"unsure"),E389,""))</f>
        <v/>
      </c>
      <c r="I389" s="2">
        <f>IF(AND(OR(E389="met",E389="not_met"),OR(F389="met",F389="not_met")),1,0)</f>
        <v/>
      </c>
      <c r="J389" s="2">
        <f>IF(I389=1,IF(E389=F389,1,0),"")</f>
        <v/>
      </c>
      <c r="K389" s="2" t="n"/>
      <c r="L389" s="2" t="n"/>
      <c r="M389" s="2" t="n"/>
      <c r="N389" s="2">
        <f>IF(OR(K389="",H389=""),"",IF((K389="met")=(H389="met"),1,0))</f>
        <v/>
      </c>
      <c r="O389" s="2">
        <f>IF(OR(L389="",H389=""),"",IF((L389="met")=(H389="met"),1,0))</f>
        <v/>
      </c>
      <c r="P389" s="2">
        <f>IF(OR(M389="",H389=""),"",IF((M389="met")=(H389="met"),1,0))</f>
        <v/>
      </c>
    </row>
    <row r="390">
      <c r="A390" s="2" t="inlineStr">
        <is>
          <t>C11-14</t>
        </is>
      </c>
      <c r="B390" s="2">
        <f>Key!B390</f>
        <v/>
      </c>
      <c r="C390" s="2">
        <f>Key!C390</f>
        <v/>
      </c>
      <c r="D390" s="2">
        <f>IF(Key!D390="","",Key!D390)</f>
        <v/>
      </c>
      <c r="E390" s="2">
        <f>IF(Label_ChatGPT!F273="","",Label_ChatGPT!F273)</f>
        <v/>
      </c>
      <c r="F390" s="2">
        <f>IF(Label_ChatGPT!G273="","",Label_ChatGPT!G273)</f>
        <v/>
      </c>
      <c r="G390" s="5" t="n"/>
      <c r="H390" s="2">
        <f>IF(G390&lt;&gt;"",G390,IF(AND(E390&lt;&gt;"",E390=F390,E390&lt;&gt;"unsure"),E390,""))</f>
        <v/>
      </c>
      <c r="I390" s="2">
        <f>IF(AND(OR(E390="met",E390="not_met"),OR(F390="met",F390="not_met")),1,0)</f>
        <v/>
      </c>
      <c r="J390" s="2">
        <f>IF(I390=1,IF(E390=F390,1,0),"")</f>
        <v/>
      </c>
      <c r="K390" s="2" t="n"/>
      <c r="L390" s="2" t="n"/>
      <c r="M390" s="2" t="n"/>
      <c r="N390" s="2">
        <f>IF(OR(K390="",H390=""),"",IF((K390="met")=(H390="met"),1,0))</f>
        <v/>
      </c>
      <c r="O390" s="2">
        <f>IF(OR(L390="",H390=""),"",IF((L390="met")=(H390="met"),1,0))</f>
        <v/>
      </c>
      <c r="P390" s="2">
        <f>IF(OR(M390="",H390=""),"",IF((M390="met")=(H390="met"),1,0))</f>
        <v/>
      </c>
    </row>
    <row r="391">
      <c r="A391" s="2" t="inlineStr">
        <is>
          <t>C11-15</t>
        </is>
      </c>
      <c r="B391" s="2">
        <f>Key!B391</f>
        <v/>
      </c>
      <c r="C391" s="2">
        <f>Key!C391</f>
        <v/>
      </c>
      <c r="D391" s="2">
        <f>IF(Key!D391="","",Key!D391)</f>
        <v/>
      </c>
      <c r="E391" s="2">
        <f>IF(Label_ChatGPT!F274="","",Label_ChatGPT!F274)</f>
        <v/>
      </c>
      <c r="F391" s="2">
        <f>IF(Label_ChatGPT!G274="","",Label_ChatGPT!G274)</f>
        <v/>
      </c>
      <c r="G391" s="5" t="n"/>
      <c r="H391" s="2">
        <f>IF(G391&lt;&gt;"",G391,IF(AND(E391&lt;&gt;"",E391=F391,E391&lt;&gt;"unsure"),E391,""))</f>
        <v/>
      </c>
      <c r="I391" s="2">
        <f>IF(AND(OR(E391="met",E391="not_met"),OR(F391="met",F391="not_met")),1,0)</f>
        <v/>
      </c>
      <c r="J391" s="2">
        <f>IF(I391=1,IF(E391=F391,1,0),"")</f>
        <v/>
      </c>
      <c r="K391" s="2" t="n"/>
      <c r="L391" s="2" t="n"/>
      <c r="M391" s="2" t="n"/>
      <c r="N391" s="2">
        <f>IF(OR(K391="",H391=""),"",IF((K391="met")=(H391="met"),1,0))</f>
        <v/>
      </c>
      <c r="O391" s="2">
        <f>IF(OR(L391="",H391=""),"",IF((L391="met")=(H391="met"),1,0))</f>
        <v/>
      </c>
      <c r="P391" s="2">
        <f>IF(OR(M391="",H391=""),"",IF((M391="met")=(H391="met"),1,0))</f>
        <v/>
      </c>
    </row>
    <row r="392">
      <c r="A392" s="2" t="inlineStr">
        <is>
          <t>C11-16</t>
        </is>
      </c>
      <c r="B392" s="2">
        <f>Key!B392</f>
        <v/>
      </c>
      <c r="C392" s="2">
        <f>Key!C392</f>
        <v/>
      </c>
      <c r="D392" s="2">
        <f>IF(Key!D392="","",Key!D392)</f>
        <v/>
      </c>
      <c r="E392" s="2">
        <f>IF(Label_ChatGPT!F275="","",Label_ChatGPT!F275)</f>
        <v/>
      </c>
      <c r="F392" s="2">
        <f>IF(Label_ChatGPT!G275="","",Label_ChatGPT!G275)</f>
        <v/>
      </c>
      <c r="G392" s="5" t="n"/>
      <c r="H392" s="2">
        <f>IF(G392&lt;&gt;"",G392,IF(AND(E392&lt;&gt;"",E392=F392,E392&lt;&gt;"unsure"),E392,""))</f>
        <v/>
      </c>
      <c r="I392" s="2">
        <f>IF(AND(OR(E392="met",E392="not_met"),OR(F392="met",F392="not_met")),1,0)</f>
        <v/>
      </c>
      <c r="J392" s="2">
        <f>IF(I392=1,IF(E392=F392,1,0),"")</f>
        <v/>
      </c>
      <c r="K392" s="2" t="n"/>
      <c r="L392" s="2" t="n"/>
      <c r="M392" s="2" t="n"/>
      <c r="N392" s="2">
        <f>IF(OR(K392="",H392=""),"",IF((K392="met")=(H392="met"),1,0))</f>
        <v/>
      </c>
      <c r="O392" s="2">
        <f>IF(OR(L392="",H392=""),"",IF((L392="met")=(H392="met"),1,0))</f>
        <v/>
      </c>
      <c r="P392" s="2">
        <f>IF(OR(M392="",H392=""),"",IF((M392="met")=(H392="met"),1,0))</f>
        <v/>
      </c>
    </row>
    <row r="393">
      <c r="A393" s="2" t="inlineStr">
        <is>
          <t>C11-17</t>
        </is>
      </c>
      <c r="B393" s="2">
        <f>Key!B393</f>
        <v/>
      </c>
      <c r="C393" s="2">
        <f>Key!C393</f>
        <v/>
      </c>
      <c r="D393" s="2">
        <f>IF(Key!D393="","",Key!D393)</f>
        <v/>
      </c>
      <c r="E393" s="2">
        <f>IF(Label_ChatGPT!F276="","",Label_ChatGPT!F276)</f>
        <v/>
      </c>
      <c r="F393" s="2">
        <f>IF(Label_ChatGPT!G276="","",Label_ChatGPT!G276)</f>
        <v/>
      </c>
      <c r="G393" s="5" t="n"/>
      <c r="H393" s="2">
        <f>IF(G393&lt;&gt;"",G393,IF(AND(E393&lt;&gt;"",E393=F393,E393&lt;&gt;"unsure"),E393,""))</f>
        <v/>
      </c>
      <c r="I393" s="2">
        <f>IF(AND(OR(E393="met",E393="not_met"),OR(F393="met",F393="not_met")),1,0)</f>
        <v/>
      </c>
      <c r="J393" s="2">
        <f>IF(I393=1,IF(E393=F393,1,0),"")</f>
        <v/>
      </c>
      <c r="K393" s="2" t="n"/>
      <c r="L393" s="2" t="n"/>
      <c r="M393" s="2" t="n"/>
      <c r="N393" s="2">
        <f>IF(OR(K393="",H393=""),"",IF((K393="met")=(H393="met"),1,0))</f>
        <v/>
      </c>
      <c r="O393" s="2">
        <f>IF(OR(L393="",H393=""),"",IF((L393="met")=(H393="met"),1,0))</f>
        <v/>
      </c>
      <c r="P393" s="2">
        <f>IF(OR(M393="",H393=""),"",IF((M393="met")=(H393="met"),1,0))</f>
        <v/>
      </c>
    </row>
    <row r="394">
      <c r="A394" s="2" t="inlineStr">
        <is>
          <t>C11-18</t>
        </is>
      </c>
      <c r="B394" s="2">
        <f>Key!B394</f>
        <v/>
      </c>
      <c r="C394" s="2">
        <f>Key!C394</f>
        <v/>
      </c>
      <c r="D394" s="2">
        <f>IF(Key!D394="","",Key!D394)</f>
        <v/>
      </c>
      <c r="E394" s="2">
        <f>IF(Label_ChatGPT!F277="","",Label_ChatGPT!F277)</f>
        <v/>
      </c>
      <c r="F394" s="2">
        <f>IF(Label_ChatGPT!G277="","",Label_ChatGPT!G277)</f>
        <v/>
      </c>
      <c r="G394" s="5" t="n"/>
      <c r="H394" s="2">
        <f>IF(G394&lt;&gt;"",G394,IF(AND(E394&lt;&gt;"",E394=F394,E394&lt;&gt;"unsure"),E394,""))</f>
        <v/>
      </c>
      <c r="I394" s="2">
        <f>IF(AND(OR(E394="met",E394="not_met"),OR(F394="met",F394="not_met")),1,0)</f>
        <v/>
      </c>
      <c r="J394" s="2">
        <f>IF(I394=1,IF(E394=F394,1,0),"")</f>
        <v/>
      </c>
      <c r="K394" s="2" t="n"/>
      <c r="L394" s="2" t="n"/>
      <c r="M394" s="2" t="n"/>
      <c r="N394" s="2">
        <f>IF(OR(K394="",H394=""),"",IF((K394="met")=(H394="met"),1,0))</f>
        <v/>
      </c>
      <c r="O394" s="2">
        <f>IF(OR(L394="",H394=""),"",IF((L394="met")=(H394="met"),1,0))</f>
        <v/>
      </c>
      <c r="P394" s="2">
        <f>IF(OR(M394="",H394=""),"",IF((M394="met")=(H394="met"),1,0))</f>
        <v/>
      </c>
    </row>
    <row r="395">
      <c r="A395" s="2" t="inlineStr">
        <is>
          <t>C11-19</t>
        </is>
      </c>
      <c r="B395" s="2">
        <f>Key!B395</f>
        <v/>
      </c>
      <c r="C395" s="2">
        <f>Key!C395</f>
        <v/>
      </c>
      <c r="D395" s="2">
        <f>IF(Key!D395="","",Key!D395)</f>
        <v/>
      </c>
      <c r="E395" s="2">
        <f>IF(Label_ChatGPT!F278="","",Label_ChatGPT!F278)</f>
        <v/>
      </c>
      <c r="F395" s="2">
        <f>IF(Label_ChatGPT!G278="","",Label_ChatGPT!G278)</f>
        <v/>
      </c>
      <c r="G395" s="5" t="n"/>
      <c r="H395" s="2">
        <f>IF(G395&lt;&gt;"",G395,IF(AND(E395&lt;&gt;"",E395=F395,E395&lt;&gt;"unsure"),E395,""))</f>
        <v/>
      </c>
      <c r="I395" s="2">
        <f>IF(AND(OR(E395="met",E395="not_met"),OR(F395="met",F395="not_met")),1,0)</f>
        <v/>
      </c>
      <c r="J395" s="2">
        <f>IF(I395=1,IF(E395=F395,1,0),"")</f>
        <v/>
      </c>
      <c r="K395" s="2" t="n"/>
      <c r="L395" s="2" t="n"/>
      <c r="M395" s="2" t="n"/>
      <c r="N395" s="2">
        <f>IF(OR(K395="",H395=""),"",IF((K395="met")=(H395="met"),1,0))</f>
        <v/>
      </c>
      <c r="O395" s="2">
        <f>IF(OR(L395="",H395=""),"",IF((L395="met")=(H395="met"),1,0))</f>
        <v/>
      </c>
      <c r="P395" s="2">
        <f>IF(OR(M395="",H395=""),"",IF((M395="met")=(H395="met"),1,0))</f>
        <v/>
      </c>
    </row>
    <row r="396">
      <c r="A396" s="2" t="inlineStr">
        <is>
          <t>C11-20</t>
        </is>
      </c>
      <c r="B396" s="2">
        <f>Key!B396</f>
        <v/>
      </c>
      <c r="C396" s="2">
        <f>Key!C396</f>
        <v/>
      </c>
      <c r="D396" s="2">
        <f>IF(Key!D396="","",Key!D396)</f>
        <v/>
      </c>
      <c r="E396" s="2">
        <f>IF(Label_ChatGPT!F279="","",Label_ChatGPT!F279)</f>
        <v/>
      </c>
      <c r="F396" s="2">
        <f>IF(Label_ChatGPT!G279="","",Label_ChatGPT!G279)</f>
        <v/>
      </c>
      <c r="G396" s="5" t="n"/>
      <c r="H396" s="2">
        <f>IF(G396&lt;&gt;"",G396,IF(AND(E396&lt;&gt;"",E396=F396,E396&lt;&gt;"unsure"),E396,""))</f>
        <v/>
      </c>
      <c r="I396" s="2">
        <f>IF(AND(OR(E396="met",E396="not_met"),OR(F396="met",F396="not_met")),1,0)</f>
        <v/>
      </c>
      <c r="J396" s="2">
        <f>IF(I396=1,IF(E396=F396,1,0),"")</f>
        <v/>
      </c>
      <c r="K396" s="2" t="n"/>
      <c r="L396" s="2" t="n"/>
      <c r="M396" s="2" t="n"/>
      <c r="N396" s="2">
        <f>IF(OR(K396="",H396=""),"",IF((K396="met")=(H396="met"),1,0))</f>
        <v/>
      </c>
      <c r="O396" s="2">
        <f>IF(OR(L396="",H396=""),"",IF((L396="met")=(H396="met"),1,0))</f>
        <v/>
      </c>
      <c r="P396" s="2">
        <f>IF(OR(M396="",H396=""),"",IF((M396="met")=(H396="met"),1,0))</f>
        <v/>
      </c>
    </row>
    <row r="397">
      <c r="A397" s="2" t="inlineStr">
        <is>
          <t>C12-01</t>
        </is>
      </c>
      <c r="B397" s="2">
        <f>Key!B397</f>
        <v/>
      </c>
      <c r="C397" s="2">
        <f>Key!C397</f>
        <v/>
      </c>
      <c r="D397" s="2">
        <f>IF(Key!D397="","",Key!D397)</f>
        <v/>
      </c>
      <c r="E397" s="2">
        <f>IF(Label_ChatGPT!F280="","",Label_ChatGPT!F280)</f>
        <v/>
      </c>
      <c r="F397" s="2">
        <f>IF(Label_ChatGPT!G280="","",Label_ChatGPT!G280)</f>
        <v/>
      </c>
      <c r="G397" s="5" t="n"/>
      <c r="H397" s="2">
        <f>IF(G397&lt;&gt;"",G397,IF(AND(E397&lt;&gt;"",E397=F397,E397&lt;&gt;"unsure"),E397,""))</f>
        <v/>
      </c>
      <c r="I397" s="2">
        <f>IF(AND(OR(E397="met",E397="not_met"),OR(F397="met",F397="not_met")),1,0)</f>
        <v/>
      </c>
      <c r="J397" s="2">
        <f>IF(I397=1,IF(E397=F397,1,0),"")</f>
        <v/>
      </c>
      <c r="K397" s="2" t="n"/>
      <c r="L397" s="2" t="n"/>
      <c r="M397" s="2" t="n"/>
      <c r="N397" s="2">
        <f>IF(OR(K397="",H397=""),"",IF((K397="met")=(H397="met"),1,0))</f>
        <v/>
      </c>
      <c r="O397" s="2">
        <f>IF(OR(L397="",H397=""),"",IF((L397="met")=(H397="met"),1,0))</f>
        <v/>
      </c>
      <c r="P397" s="2">
        <f>IF(OR(M397="",H397=""),"",IF((M397="met")=(H397="met"),1,0))</f>
        <v/>
      </c>
    </row>
    <row r="398">
      <c r="A398" s="2" t="inlineStr">
        <is>
          <t>C12-02</t>
        </is>
      </c>
      <c r="B398" s="2">
        <f>Key!B398</f>
        <v/>
      </c>
      <c r="C398" s="2">
        <f>Key!C398</f>
        <v/>
      </c>
      <c r="D398" s="2">
        <f>IF(Key!D398="","",Key!D398)</f>
        <v/>
      </c>
      <c r="E398" s="2">
        <f>IF(Label_ChatGPT!F281="","",Label_ChatGPT!F281)</f>
        <v/>
      </c>
      <c r="F398" s="2">
        <f>IF(Label_ChatGPT!G281="","",Label_ChatGPT!G281)</f>
        <v/>
      </c>
      <c r="G398" s="5" t="n"/>
      <c r="H398" s="2">
        <f>IF(G398&lt;&gt;"",G398,IF(AND(E398&lt;&gt;"",E398=F398,E398&lt;&gt;"unsure"),E398,""))</f>
        <v/>
      </c>
      <c r="I398" s="2">
        <f>IF(AND(OR(E398="met",E398="not_met"),OR(F398="met",F398="not_met")),1,0)</f>
        <v/>
      </c>
      <c r="J398" s="2">
        <f>IF(I398=1,IF(E398=F398,1,0),"")</f>
        <v/>
      </c>
      <c r="K398" s="2" t="n"/>
      <c r="L398" s="2" t="n"/>
      <c r="M398" s="2" t="n"/>
      <c r="N398" s="2">
        <f>IF(OR(K398="",H398=""),"",IF((K398="met")=(H398="met"),1,0))</f>
        <v/>
      </c>
      <c r="O398" s="2">
        <f>IF(OR(L398="",H398=""),"",IF((L398="met")=(H398="met"),1,0))</f>
        <v/>
      </c>
      <c r="P398" s="2">
        <f>IF(OR(M398="",H398=""),"",IF((M398="met")=(H398="met"),1,0))</f>
        <v/>
      </c>
    </row>
    <row r="399">
      <c r="A399" s="2" t="inlineStr">
        <is>
          <t>C12-03</t>
        </is>
      </c>
      <c r="B399" s="2">
        <f>Key!B399</f>
        <v/>
      </c>
      <c r="C399" s="2">
        <f>Key!C399</f>
        <v/>
      </c>
      <c r="D399" s="2">
        <f>IF(Key!D399="","",Key!D399)</f>
        <v/>
      </c>
      <c r="E399" s="2">
        <f>IF(Label_ChatGPT!F282="","",Label_ChatGPT!F282)</f>
        <v/>
      </c>
      <c r="F399" s="2">
        <f>IF(Label_ChatGPT!G282="","",Label_ChatGPT!G282)</f>
        <v/>
      </c>
      <c r="G399" s="5" t="n"/>
      <c r="H399" s="2">
        <f>IF(G399&lt;&gt;"",G399,IF(AND(E399&lt;&gt;"",E399=F399,E399&lt;&gt;"unsure"),E399,""))</f>
        <v/>
      </c>
      <c r="I399" s="2">
        <f>IF(AND(OR(E399="met",E399="not_met"),OR(F399="met",F399="not_met")),1,0)</f>
        <v/>
      </c>
      <c r="J399" s="2">
        <f>IF(I399=1,IF(E399=F399,1,0),"")</f>
        <v/>
      </c>
      <c r="K399" s="2" t="n"/>
      <c r="L399" s="2" t="n"/>
      <c r="M399" s="2" t="n"/>
      <c r="N399" s="2">
        <f>IF(OR(K399="",H399=""),"",IF((K399="met")=(H399="met"),1,0))</f>
        <v/>
      </c>
      <c r="O399" s="2">
        <f>IF(OR(L399="",H399=""),"",IF((L399="met")=(H399="met"),1,0))</f>
        <v/>
      </c>
      <c r="P399" s="2">
        <f>IF(OR(M399="",H399=""),"",IF((M399="met")=(H399="met"),1,0))</f>
        <v/>
      </c>
    </row>
    <row r="400">
      <c r="A400" s="2" t="inlineStr">
        <is>
          <t>C12-04</t>
        </is>
      </c>
      <c r="B400" s="2">
        <f>Key!B400</f>
        <v/>
      </c>
      <c r="C400" s="2">
        <f>Key!C400</f>
        <v/>
      </c>
      <c r="D400" s="2">
        <f>IF(Key!D400="","",Key!D400)</f>
        <v/>
      </c>
      <c r="E400" s="2">
        <f>IF(Label_ChatGPT!F283="","",Label_ChatGPT!F283)</f>
        <v/>
      </c>
      <c r="F400" s="2">
        <f>IF(Label_ChatGPT!G283="","",Label_ChatGPT!G283)</f>
        <v/>
      </c>
      <c r="G400" s="5" t="n"/>
      <c r="H400" s="2">
        <f>IF(G400&lt;&gt;"",G400,IF(AND(E400&lt;&gt;"",E400=F400,E400&lt;&gt;"unsure"),E400,""))</f>
        <v/>
      </c>
      <c r="I400" s="2">
        <f>IF(AND(OR(E400="met",E400="not_met"),OR(F400="met",F400="not_met")),1,0)</f>
        <v/>
      </c>
      <c r="J400" s="2">
        <f>IF(I400=1,IF(E400=F400,1,0),"")</f>
        <v/>
      </c>
      <c r="K400" s="2" t="n"/>
      <c r="L400" s="2" t="n"/>
      <c r="M400" s="2" t="n"/>
      <c r="N400" s="2">
        <f>IF(OR(K400="",H400=""),"",IF((K400="met")=(H400="met"),1,0))</f>
        <v/>
      </c>
      <c r="O400" s="2">
        <f>IF(OR(L400="",H400=""),"",IF((L400="met")=(H400="met"),1,0))</f>
        <v/>
      </c>
      <c r="P400" s="2">
        <f>IF(OR(M400="",H400=""),"",IF((M400="met")=(H400="met"),1,0))</f>
        <v/>
      </c>
    </row>
    <row r="401">
      <c r="A401" s="2" t="inlineStr">
        <is>
          <t>C12-05</t>
        </is>
      </c>
      <c r="B401" s="2">
        <f>Key!B401</f>
        <v/>
      </c>
      <c r="C401" s="2">
        <f>Key!C401</f>
        <v/>
      </c>
      <c r="D401" s="2">
        <f>IF(Key!D401="","",Key!D401)</f>
        <v/>
      </c>
      <c r="E401" s="2">
        <f>IF(Label_ChatGPT!F284="","",Label_ChatGPT!F284)</f>
        <v/>
      </c>
      <c r="F401" s="2">
        <f>IF(Label_ChatGPT!G284="","",Label_ChatGPT!G284)</f>
        <v/>
      </c>
      <c r="G401" s="5" t="n"/>
      <c r="H401" s="2">
        <f>IF(G401&lt;&gt;"",G401,IF(AND(E401&lt;&gt;"",E401=F401,E401&lt;&gt;"unsure"),E401,""))</f>
        <v/>
      </c>
      <c r="I401" s="2">
        <f>IF(AND(OR(E401="met",E401="not_met"),OR(F401="met",F401="not_met")),1,0)</f>
        <v/>
      </c>
      <c r="J401" s="2">
        <f>IF(I401=1,IF(E401=F401,1,0),"")</f>
        <v/>
      </c>
      <c r="K401" s="2" t="n"/>
      <c r="L401" s="2" t="n"/>
      <c r="M401" s="2" t="n"/>
      <c r="N401" s="2">
        <f>IF(OR(K401="",H401=""),"",IF((K401="met")=(H401="met"),1,0))</f>
        <v/>
      </c>
      <c r="O401" s="2">
        <f>IF(OR(L401="",H401=""),"",IF((L401="met")=(H401="met"),1,0))</f>
        <v/>
      </c>
      <c r="P401" s="2">
        <f>IF(OR(M401="",H401=""),"",IF((M401="met")=(H401="met"),1,0))</f>
        <v/>
      </c>
    </row>
    <row r="402">
      <c r="A402" s="2" t="inlineStr">
        <is>
          <t>C12-06</t>
        </is>
      </c>
      <c r="B402" s="2">
        <f>Key!B402</f>
        <v/>
      </c>
      <c r="C402" s="2">
        <f>Key!C402</f>
        <v/>
      </c>
      <c r="D402" s="2">
        <f>IF(Key!D402="","",Key!D402)</f>
        <v/>
      </c>
      <c r="E402" s="2">
        <f>IF(Label_ChatGPT!F285="","",Label_ChatGPT!F285)</f>
        <v/>
      </c>
      <c r="F402" s="2">
        <f>IF(Label_ChatGPT!G285="","",Label_ChatGPT!G285)</f>
        <v/>
      </c>
      <c r="G402" s="5" t="n"/>
      <c r="H402" s="2">
        <f>IF(G402&lt;&gt;"",G402,IF(AND(E402&lt;&gt;"",E402=F402,E402&lt;&gt;"unsure"),E402,""))</f>
        <v/>
      </c>
      <c r="I402" s="2">
        <f>IF(AND(OR(E402="met",E402="not_met"),OR(F402="met",F402="not_met")),1,0)</f>
        <v/>
      </c>
      <c r="J402" s="2">
        <f>IF(I402=1,IF(E402=F402,1,0),"")</f>
        <v/>
      </c>
      <c r="K402" s="2" t="n"/>
      <c r="L402" s="2" t="n"/>
      <c r="M402" s="2" t="n"/>
      <c r="N402" s="2">
        <f>IF(OR(K402="",H402=""),"",IF((K402="met")=(H402="met"),1,0))</f>
        <v/>
      </c>
      <c r="O402" s="2">
        <f>IF(OR(L402="",H402=""),"",IF((L402="met")=(H402="met"),1,0))</f>
        <v/>
      </c>
      <c r="P402" s="2">
        <f>IF(OR(M402="",H402=""),"",IF((M402="met")=(H402="met"),1,0))</f>
        <v/>
      </c>
    </row>
    <row r="403">
      <c r="A403" s="2" t="inlineStr">
        <is>
          <t>C12-07</t>
        </is>
      </c>
      <c r="B403" s="2">
        <f>Key!B403</f>
        <v/>
      </c>
      <c r="C403" s="2">
        <f>Key!C403</f>
        <v/>
      </c>
      <c r="D403" s="2">
        <f>IF(Key!D403="","",Key!D403)</f>
        <v/>
      </c>
      <c r="E403" s="2">
        <f>IF(Label_ChatGPT!F286="","",Label_ChatGPT!F286)</f>
        <v/>
      </c>
      <c r="F403" s="2">
        <f>IF(Label_ChatGPT!G286="","",Label_ChatGPT!G286)</f>
        <v/>
      </c>
      <c r="G403" s="5" t="n"/>
      <c r="H403" s="2">
        <f>IF(G403&lt;&gt;"",G403,IF(AND(E403&lt;&gt;"",E403=F403,E403&lt;&gt;"unsure"),E403,""))</f>
        <v/>
      </c>
      <c r="I403" s="2">
        <f>IF(AND(OR(E403="met",E403="not_met"),OR(F403="met",F403="not_met")),1,0)</f>
        <v/>
      </c>
      <c r="J403" s="2">
        <f>IF(I403=1,IF(E403=F403,1,0),"")</f>
        <v/>
      </c>
      <c r="K403" s="2" t="n"/>
      <c r="L403" s="2" t="n"/>
      <c r="M403" s="2" t="n"/>
      <c r="N403" s="2">
        <f>IF(OR(K403="",H403=""),"",IF((K403="met")=(H403="met"),1,0))</f>
        <v/>
      </c>
      <c r="O403" s="2">
        <f>IF(OR(L403="",H403=""),"",IF((L403="met")=(H403="met"),1,0))</f>
        <v/>
      </c>
      <c r="P403" s="2">
        <f>IF(OR(M403="",H403=""),"",IF((M403="met")=(H403="met"),1,0))</f>
        <v/>
      </c>
    </row>
    <row r="404">
      <c r="A404" s="2" t="inlineStr">
        <is>
          <t>C12-08</t>
        </is>
      </c>
      <c r="B404" s="2">
        <f>Key!B404</f>
        <v/>
      </c>
      <c r="C404" s="2">
        <f>Key!C404</f>
        <v/>
      </c>
      <c r="D404" s="2">
        <f>IF(Key!D404="","",Key!D404)</f>
        <v/>
      </c>
      <c r="E404" s="2">
        <f>IF(Label_ChatGPT!F287="","",Label_ChatGPT!F287)</f>
        <v/>
      </c>
      <c r="F404" s="2">
        <f>IF(Label_ChatGPT!G287="","",Label_ChatGPT!G287)</f>
        <v/>
      </c>
      <c r="G404" s="5" t="n"/>
      <c r="H404" s="2">
        <f>IF(G404&lt;&gt;"",G404,IF(AND(E404&lt;&gt;"",E404=F404,E404&lt;&gt;"unsure"),E404,""))</f>
        <v/>
      </c>
      <c r="I404" s="2">
        <f>IF(AND(OR(E404="met",E404="not_met"),OR(F404="met",F404="not_met")),1,0)</f>
        <v/>
      </c>
      <c r="J404" s="2">
        <f>IF(I404=1,IF(E404=F404,1,0),"")</f>
        <v/>
      </c>
      <c r="K404" s="2" t="n"/>
      <c r="L404" s="2" t="n"/>
      <c r="M404" s="2" t="n"/>
      <c r="N404" s="2">
        <f>IF(OR(K404="",H404=""),"",IF((K404="met")=(H404="met"),1,0))</f>
        <v/>
      </c>
      <c r="O404" s="2">
        <f>IF(OR(L404="",H404=""),"",IF((L404="met")=(H404="met"),1,0))</f>
        <v/>
      </c>
      <c r="P404" s="2">
        <f>IF(OR(M404="",H404=""),"",IF((M404="met")=(H404="met"),1,0))</f>
        <v/>
      </c>
    </row>
    <row r="405">
      <c r="A405" s="2" t="inlineStr">
        <is>
          <t>C12-09</t>
        </is>
      </c>
      <c r="B405" s="2">
        <f>Key!B405</f>
        <v/>
      </c>
      <c r="C405" s="2">
        <f>Key!C405</f>
        <v/>
      </c>
      <c r="D405" s="2">
        <f>IF(Key!D405="","",Key!D405)</f>
        <v/>
      </c>
      <c r="E405" s="2">
        <f>IF(Label_ChatGPT!F288="","",Label_ChatGPT!F288)</f>
        <v/>
      </c>
      <c r="F405" s="2">
        <f>IF(Label_ChatGPT!G288="","",Label_ChatGPT!G288)</f>
        <v/>
      </c>
      <c r="G405" s="5" t="n"/>
      <c r="H405" s="2">
        <f>IF(G405&lt;&gt;"",G405,IF(AND(E405&lt;&gt;"",E405=F405,E405&lt;&gt;"unsure"),E405,""))</f>
        <v/>
      </c>
      <c r="I405" s="2">
        <f>IF(AND(OR(E405="met",E405="not_met"),OR(F405="met",F405="not_met")),1,0)</f>
        <v/>
      </c>
      <c r="J405" s="2">
        <f>IF(I405=1,IF(E405=F405,1,0),"")</f>
        <v/>
      </c>
      <c r="K405" s="2" t="n"/>
      <c r="L405" s="2" t="n"/>
      <c r="M405" s="2" t="n"/>
      <c r="N405" s="2">
        <f>IF(OR(K405="",H405=""),"",IF((K405="met")=(H405="met"),1,0))</f>
        <v/>
      </c>
      <c r="O405" s="2">
        <f>IF(OR(L405="",H405=""),"",IF((L405="met")=(H405="met"),1,0))</f>
        <v/>
      </c>
      <c r="P405" s="2">
        <f>IF(OR(M405="",H405=""),"",IF((M405="met")=(H405="met"),1,0))</f>
        <v/>
      </c>
    </row>
    <row r="406">
      <c r="A406" s="2" t="inlineStr">
        <is>
          <t>C12-10</t>
        </is>
      </c>
      <c r="B406" s="2">
        <f>Key!B406</f>
        <v/>
      </c>
      <c r="C406" s="2">
        <f>Key!C406</f>
        <v/>
      </c>
      <c r="D406" s="2">
        <f>IF(Key!D406="","",Key!D406)</f>
        <v/>
      </c>
      <c r="E406" s="2">
        <f>IF(Label_ChatGPT!F289="","",Label_ChatGPT!F289)</f>
        <v/>
      </c>
      <c r="F406" s="2">
        <f>IF(Label_ChatGPT!G289="","",Label_ChatGPT!G289)</f>
        <v/>
      </c>
      <c r="G406" s="5" t="n"/>
      <c r="H406" s="2">
        <f>IF(G406&lt;&gt;"",G406,IF(AND(E406&lt;&gt;"",E406=F406,E406&lt;&gt;"unsure"),E406,""))</f>
        <v/>
      </c>
      <c r="I406" s="2">
        <f>IF(AND(OR(E406="met",E406="not_met"),OR(F406="met",F406="not_met")),1,0)</f>
        <v/>
      </c>
      <c r="J406" s="2">
        <f>IF(I406=1,IF(E406=F406,1,0),"")</f>
        <v/>
      </c>
      <c r="K406" s="2" t="n"/>
      <c r="L406" s="2" t="n"/>
      <c r="M406" s="2" t="n"/>
      <c r="N406" s="2">
        <f>IF(OR(K406="",H406=""),"",IF((K406="met")=(H406="met"),1,0))</f>
        <v/>
      </c>
      <c r="O406" s="2">
        <f>IF(OR(L406="",H406=""),"",IF((L406="met")=(H406="met"),1,0))</f>
        <v/>
      </c>
      <c r="P406" s="2">
        <f>IF(OR(M406="",H406=""),"",IF((M406="met")=(H406="met"),1,0))</f>
        <v/>
      </c>
    </row>
    <row r="407">
      <c r="A407" s="2" t="inlineStr">
        <is>
          <t>C12-11</t>
        </is>
      </c>
      <c r="B407" s="2">
        <f>Key!B407</f>
        <v/>
      </c>
      <c r="C407" s="2">
        <f>Key!C407</f>
        <v/>
      </c>
      <c r="D407" s="2">
        <f>IF(Key!D407="","",Key!D407)</f>
        <v/>
      </c>
      <c r="E407" s="2">
        <f>IF(Label_ChatGPT!F290="","",Label_ChatGPT!F290)</f>
        <v/>
      </c>
      <c r="F407" s="2">
        <f>IF(Label_ChatGPT!G290="","",Label_ChatGPT!G290)</f>
        <v/>
      </c>
      <c r="G407" s="5" t="n"/>
      <c r="H407" s="2">
        <f>IF(G407&lt;&gt;"",G407,IF(AND(E407&lt;&gt;"",E407=F407,E407&lt;&gt;"unsure"),E407,""))</f>
        <v/>
      </c>
      <c r="I407" s="2">
        <f>IF(AND(OR(E407="met",E407="not_met"),OR(F407="met",F407="not_met")),1,0)</f>
        <v/>
      </c>
      <c r="J407" s="2">
        <f>IF(I407=1,IF(E407=F407,1,0),"")</f>
        <v/>
      </c>
      <c r="K407" s="2" t="n"/>
      <c r="L407" s="2" t="n"/>
      <c r="M407" s="2" t="n"/>
      <c r="N407" s="2">
        <f>IF(OR(K407="",H407=""),"",IF((K407="met")=(H407="met"),1,0))</f>
        <v/>
      </c>
      <c r="O407" s="2">
        <f>IF(OR(L407="",H407=""),"",IF((L407="met")=(H407="met"),1,0))</f>
        <v/>
      </c>
      <c r="P407" s="2">
        <f>IF(OR(M407="",H407=""),"",IF((M407="met")=(H407="met"),1,0))</f>
        <v/>
      </c>
    </row>
    <row r="408">
      <c r="A408" s="2" t="inlineStr">
        <is>
          <t>C12-12</t>
        </is>
      </c>
      <c r="B408" s="2">
        <f>Key!B408</f>
        <v/>
      </c>
      <c r="C408" s="2">
        <f>Key!C408</f>
        <v/>
      </c>
      <c r="D408" s="2">
        <f>IF(Key!D408="","",Key!D408)</f>
        <v/>
      </c>
      <c r="E408" s="2">
        <f>IF(Label_ChatGPT!F291="","",Label_ChatGPT!F291)</f>
        <v/>
      </c>
      <c r="F408" s="2">
        <f>IF(Label_ChatGPT!G291="","",Label_ChatGPT!G291)</f>
        <v/>
      </c>
      <c r="G408" s="5" t="n"/>
      <c r="H408" s="2">
        <f>IF(G408&lt;&gt;"",G408,IF(AND(E408&lt;&gt;"",E408=F408,E408&lt;&gt;"unsure"),E408,""))</f>
        <v/>
      </c>
      <c r="I408" s="2">
        <f>IF(AND(OR(E408="met",E408="not_met"),OR(F408="met",F408="not_met")),1,0)</f>
        <v/>
      </c>
      <c r="J408" s="2">
        <f>IF(I408=1,IF(E408=F408,1,0),"")</f>
        <v/>
      </c>
      <c r="K408" s="2" t="n"/>
      <c r="L408" s="2" t="n"/>
      <c r="M408" s="2" t="n"/>
      <c r="N408" s="2">
        <f>IF(OR(K408="",H408=""),"",IF((K408="met")=(H408="met"),1,0))</f>
        <v/>
      </c>
      <c r="O408" s="2">
        <f>IF(OR(L408="",H408=""),"",IF((L408="met")=(H408="met"),1,0))</f>
        <v/>
      </c>
      <c r="P408" s="2">
        <f>IF(OR(M408="",H408=""),"",IF((M408="met")=(H408="met"),1,0))</f>
        <v/>
      </c>
    </row>
    <row r="409">
      <c r="A409" s="2" t="inlineStr">
        <is>
          <t>C12-13</t>
        </is>
      </c>
      <c r="B409" s="2">
        <f>Key!B409</f>
        <v/>
      </c>
      <c r="C409" s="2">
        <f>Key!C409</f>
        <v/>
      </c>
      <c r="D409" s="2">
        <f>IF(Key!D409="","",Key!D409)</f>
        <v/>
      </c>
      <c r="E409" s="2">
        <f>IF(Label_ChatGPT!F292="","",Label_ChatGPT!F292)</f>
        <v/>
      </c>
      <c r="F409" s="2">
        <f>IF(Label_ChatGPT!G292="","",Label_ChatGPT!G292)</f>
        <v/>
      </c>
      <c r="G409" s="5" t="n"/>
      <c r="H409" s="2">
        <f>IF(G409&lt;&gt;"",G409,IF(AND(E409&lt;&gt;"",E409=F409,E409&lt;&gt;"unsure"),E409,""))</f>
        <v/>
      </c>
      <c r="I409" s="2">
        <f>IF(AND(OR(E409="met",E409="not_met"),OR(F409="met",F409="not_met")),1,0)</f>
        <v/>
      </c>
      <c r="J409" s="2">
        <f>IF(I409=1,IF(E409=F409,1,0),"")</f>
        <v/>
      </c>
      <c r="K409" s="2" t="n"/>
      <c r="L409" s="2" t="n"/>
      <c r="M409" s="2" t="n"/>
      <c r="N409" s="2">
        <f>IF(OR(K409="",H409=""),"",IF((K409="met")=(H409="met"),1,0))</f>
        <v/>
      </c>
      <c r="O409" s="2">
        <f>IF(OR(L409="",H409=""),"",IF((L409="met")=(H409="met"),1,0))</f>
        <v/>
      </c>
      <c r="P409" s="2">
        <f>IF(OR(M409="",H409=""),"",IF((M409="met")=(H409="met"),1,0))</f>
        <v/>
      </c>
    </row>
    <row r="410">
      <c r="A410" s="2" t="inlineStr">
        <is>
          <t>C12-14</t>
        </is>
      </c>
      <c r="B410" s="2">
        <f>Key!B410</f>
        <v/>
      </c>
      <c r="C410" s="2">
        <f>Key!C410</f>
        <v/>
      </c>
      <c r="D410" s="2">
        <f>IF(Key!D410="","",Key!D410)</f>
        <v/>
      </c>
      <c r="E410" s="2">
        <f>IF(Label_ChatGPT!F293="","",Label_ChatGPT!F293)</f>
        <v/>
      </c>
      <c r="F410" s="2">
        <f>IF(Label_ChatGPT!G293="","",Label_ChatGPT!G293)</f>
        <v/>
      </c>
      <c r="G410" s="5" t="n"/>
      <c r="H410" s="2">
        <f>IF(G410&lt;&gt;"",G410,IF(AND(E410&lt;&gt;"",E410=F410,E410&lt;&gt;"unsure"),E410,""))</f>
        <v/>
      </c>
      <c r="I410" s="2">
        <f>IF(AND(OR(E410="met",E410="not_met"),OR(F410="met",F410="not_met")),1,0)</f>
        <v/>
      </c>
      <c r="J410" s="2">
        <f>IF(I410=1,IF(E410=F410,1,0),"")</f>
        <v/>
      </c>
      <c r="K410" s="2" t="n"/>
      <c r="L410" s="2" t="n"/>
      <c r="M410" s="2" t="n"/>
      <c r="N410" s="2">
        <f>IF(OR(K410="",H410=""),"",IF((K410="met")=(H410="met"),1,0))</f>
        <v/>
      </c>
      <c r="O410" s="2">
        <f>IF(OR(L410="",H410=""),"",IF((L410="met")=(H410="met"),1,0))</f>
        <v/>
      </c>
      <c r="P410" s="2">
        <f>IF(OR(M410="",H410=""),"",IF((M410="met")=(H410="met"),1,0))</f>
        <v/>
      </c>
    </row>
    <row r="411">
      <c r="A411" s="2" t="inlineStr">
        <is>
          <t>C12-15</t>
        </is>
      </c>
      <c r="B411" s="2">
        <f>Key!B411</f>
        <v/>
      </c>
      <c r="C411" s="2">
        <f>Key!C411</f>
        <v/>
      </c>
      <c r="D411" s="2">
        <f>IF(Key!D411="","",Key!D411)</f>
        <v/>
      </c>
      <c r="E411" s="2">
        <f>IF(Label_ChatGPT!F294="","",Label_ChatGPT!F294)</f>
        <v/>
      </c>
      <c r="F411" s="2">
        <f>IF(Label_ChatGPT!G294="","",Label_ChatGPT!G294)</f>
        <v/>
      </c>
      <c r="G411" s="5" t="n"/>
      <c r="H411" s="2">
        <f>IF(G411&lt;&gt;"",G411,IF(AND(E411&lt;&gt;"",E411=F411,E411&lt;&gt;"unsure"),E411,""))</f>
        <v/>
      </c>
      <c r="I411" s="2">
        <f>IF(AND(OR(E411="met",E411="not_met"),OR(F411="met",F411="not_met")),1,0)</f>
        <v/>
      </c>
      <c r="J411" s="2">
        <f>IF(I411=1,IF(E411=F411,1,0),"")</f>
        <v/>
      </c>
      <c r="K411" s="2" t="n"/>
      <c r="L411" s="2" t="n"/>
      <c r="M411" s="2" t="n"/>
      <c r="N411" s="2">
        <f>IF(OR(K411="",H411=""),"",IF((K411="met")=(H411="met"),1,0))</f>
        <v/>
      </c>
      <c r="O411" s="2">
        <f>IF(OR(L411="",H411=""),"",IF((L411="met")=(H411="met"),1,0))</f>
        <v/>
      </c>
      <c r="P411" s="2">
        <f>IF(OR(M411="",H411=""),"",IF((M411="met")=(H411="met"),1,0))</f>
        <v/>
      </c>
    </row>
    <row r="412">
      <c r="A412" s="2" t="inlineStr">
        <is>
          <t>C13-01</t>
        </is>
      </c>
      <c r="B412" s="2">
        <f>Key!B412</f>
        <v/>
      </c>
      <c r="C412" s="2">
        <f>Key!C412</f>
        <v/>
      </c>
      <c r="D412" s="2">
        <f>IF(Key!D412="","",Key!D412)</f>
        <v/>
      </c>
      <c r="E412" s="2">
        <f>IF(Label_ChatGPT!F295="","",Label_ChatGPT!F295)</f>
        <v/>
      </c>
      <c r="F412" s="2">
        <f>IF(Label_ChatGPT!G295="","",Label_ChatGPT!G295)</f>
        <v/>
      </c>
      <c r="G412" s="5" t="n"/>
      <c r="H412" s="2">
        <f>IF(G412&lt;&gt;"",G412,IF(AND(E412&lt;&gt;"",E412=F412,E412&lt;&gt;"unsure"),E412,""))</f>
        <v/>
      </c>
      <c r="I412" s="2">
        <f>IF(AND(OR(E412="met",E412="not_met"),OR(F412="met",F412="not_met")),1,0)</f>
        <v/>
      </c>
      <c r="J412" s="2">
        <f>IF(I412=1,IF(E412=F412,1,0),"")</f>
        <v/>
      </c>
      <c r="K412" s="2" t="n"/>
      <c r="L412" s="2" t="n"/>
      <c r="M412" s="2" t="n"/>
      <c r="N412" s="2">
        <f>IF(OR(K412="",H412=""),"",IF((K412="met")=(H412="met"),1,0))</f>
        <v/>
      </c>
      <c r="O412" s="2">
        <f>IF(OR(L412="",H412=""),"",IF((L412="met")=(H412="met"),1,0))</f>
        <v/>
      </c>
      <c r="P412" s="2">
        <f>IF(OR(M412="",H412=""),"",IF((M412="met")=(H412="met"),1,0))</f>
        <v/>
      </c>
    </row>
    <row r="413">
      <c r="A413" s="2" t="inlineStr">
        <is>
          <t>C13-02</t>
        </is>
      </c>
      <c r="B413" s="2">
        <f>Key!B413</f>
        <v/>
      </c>
      <c r="C413" s="2">
        <f>Key!C413</f>
        <v/>
      </c>
      <c r="D413" s="2">
        <f>IF(Key!D413="","",Key!D413)</f>
        <v/>
      </c>
      <c r="E413" s="2">
        <f>IF(Label_ChatGPT!F296="","",Label_ChatGPT!F296)</f>
        <v/>
      </c>
      <c r="F413" s="2">
        <f>IF(Label_ChatGPT!G296="","",Label_ChatGPT!G296)</f>
        <v/>
      </c>
      <c r="G413" s="5" t="n"/>
      <c r="H413" s="2">
        <f>IF(G413&lt;&gt;"",G413,IF(AND(E413&lt;&gt;"",E413=F413,E413&lt;&gt;"unsure"),E413,""))</f>
        <v/>
      </c>
      <c r="I413" s="2">
        <f>IF(AND(OR(E413="met",E413="not_met"),OR(F413="met",F413="not_met")),1,0)</f>
        <v/>
      </c>
      <c r="J413" s="2">
        <f>IF(I413=1,IF(E413=F413,1,0),"")</f>
        <v/>
      </c>
      <c r="K413" s="2" t="n"/>
      <c r="L413" s="2" t="n"/>
      <c r="M413" s="2" t="n"/>
      <c r="N413" s="2">
        <f>IF(OR(K413="",H413=""),"",IF((K413="met")=(H413="met"),1,0))</f>
        <v/>
      </c>
      <c r="O413" s="2">
        <f>IF(OR(L413="",H413=""),"",IF((L413="met")=(H413="met"),1,0))</f>
        <v/>
      </c>
      <c r="P413" s="2">
        <f>IF(OR(M413="",H413=""),"",IF((M413="met")=(H413="met"),1,0))</f>
        <v/>
      </c>
    </row>
    <row r="414">
      <c r="A414" s="2" t="inlineStr">
        <is>
          <t>C13-03</t>
        </is>
      </c>
      <c r="B414" s="2">
        <f>Key!B414</f>
        <v/>
      </c>
      <c r="C414" s="2">
        <f>Key!C414</f>
        <v/>
      </c>
      <c r="D414" s="2">
        <f>IF(Key!D414="","",Key!D414)</f>
        <v/>
      </c>
      <c r="E414" s="2">
        <f>IF(Label_ChatGPT!F297="","",Label_ChatGPT!F297)</f>
        <v/>
      </c>
      <c r="F414" s="2">
        <f>IF(Label_ChatGPT!G297="","",Label_ChatGPT!G297)</f>
        <v/>
      </c>
      <c r="G414" s="5" t="n"/>
      <c r="H414" s="2">
        <f>IF(G414&lt;&gt;"",G414,IF(AND(E414&lt;&gt;"",E414=F414,E414&lt;&gt;"unsure"),E414,""))</f>
        <v/>
      </c>
      <c r="I414" s="2">
        <f>IF(AND(OR(E414="met",E414="not_met"),OR(F414="met",F414="not_met")),1,0)</f>
        <v/>
      </c>
      <c r="J414" s="2">
        <f>IF(I414=1,IF(E414=F414,1,0),"")</f>
        <v/>
      </c>
      <c r="K414" s="2" t="n"/>
      <c r="L414" s="2" t="n"/>
      <c r="M414" s="2" t="n"/>
      <c r="N414" s="2">
        <f>IF(OR(K414="",H414=""),"",IF((K414="met")=(H414="met"),1,0))</f>
        <v/>
      </c>
      <c r="O414" s="2">
        <f>IF(OR(L414="",H414=""),"",IF((L414="met")=(H414="met"),1,0))</f>
        <v/>
      </c>
      <c r="P414" s="2">
        <f>IF(OR(M414="",H414=""),"",IF((M414="met")=(H414="met"),1,0))</f>
        <v/>
      </c>
    </row>
    <row r="415">
      <c r="A415" s="2" t="inlineStr">
        <is>
          <t>C13-04</t>
        </is>
      </c>
      <c r="B415" s="2">
        <f>Key!B415</f>
        <v/>
      </c>
      <c r="C415" s="2">
        <f>Key!C415</f>
        <v/>
      </c>
      <c r="D415" s="2">
        <f>IF(Key!D415="","",Key!D415)</f>
        <v/>
      </c>
      <c r="E415" s="2">
        <f>IF(Label_ChatGPT!F298="","",Label_ChatGPT!F298)</f>
        <v/>
      </c>
      <c r="F415" s="2">
        <f>IF(Label_ChatGPT!G298="","",Label_ChatGPT!G298)</f>
        <v/>
      </c>
      <c r="G415" s="5" t="n"/>
      <c r="H415" s="2">
        <f>IF(G415&lt;&gt;"",G415,IF(AND(E415&lt;&gt;"",E415=F415,E415&lt;&gt;"unsure"),E415,""))</f>
        <v/>
      </c>
      <c r="I415" s="2">
        <f>IF(AND(OR(E415="met",E415="not_met"),OR(F415="met",F415="not_met")),1,0)</f>
        <v/>
      </c>
      <c r="J415" s="2">
        <f>IF(I415=1,IF(E415=F415,1,0),"")</f>
        <v/>
      </c>
      <c r="K415" s="2" t="n"/>
      <c r="L415" s="2" t="n"/>
      <c r="M415" s="2" t="n"/>
      <c r="N415" s="2">
        <f>IF(OR(K415="",H415=""),"",IF((K415="met")=(H415="met"),1,0))</f>
        <v/>
      </c>
      <c r="O415" s="2">
        <f>IF(OR(L415="",H415=""),"",IF((L415="met")=(H415="met"),1,0))</f>
        <v/>
      </c>
      <c r="P415" s="2">
        <f>IF(OR(M415="",H415=""),"",IF((M415="met")=(H415="met"),1,0))</f>
        <v/>
      </c>
    </row>
    <row r="416">
      <c r="A416" s="2" t="inlineStr">
        <is>
          <t>C13-05</t>
        </is>
      </c>
      <c r="B416" s="2">
        <f>Key!B416</f>
        <v/>
      </c>
      <c r="C416" s="2">
        <f>Key!C416</f>
        <v/>
      </c>
      <c r="D416" s="2">
        <f>IF(Key!D416="","",Key!D416)</f>
        <v/>
      </c>
      <c r="E416" s="2">
        <f>IF(Label_ChatGPT!F299="","",Label_ChatGPT!F299)</f>
        <v/>
      </c>
      <c r="F416" s="2">
        <f>IF(Label_ChatGPT!G299="","",Label_ChatGPT!G299)</f>
        <v/>
      </c>
      <c r="G416" s="5" t="n"/>
      <c r="H416" s="2">
        <f>IF(G416&lt;&gt;"",G416,IF(AND(E416&lt;&gt;"",E416=F416,E416&lt;&gt;"unsure"),E416,""))</f>
        <v/>
      </c>
      <c r="I416" s="2">
        <f>IF(AND(OR(E416="met",E416="not_met"),OR(F416="met",F416="not_met")),1,0)</f>
        <v/>
      </c>
      <c r="J416" s="2">
        <f>IF(I416=1,IF(E416=F416,1,0),"")</f>
        <v/>
      </c>
      <c r="K416" s="2" t="n"/>
      <c r="L416" s="2" t="n"/>
      <c r="M416" s="2" t="n"/>
      <c r="N416" s="2">
        <f>IF(OR(K416="",H416=""),"",IF((K416="met")=(H416="met"),1,0))</f>
        <v/>
      </c>
      <c r="O416" s="2">
        <f>IF(OR(L416="",H416=""),"",IF((L416="met")=(H416="met"),1,0))</f>
        <v/>
      </c>
      <c r="P416" s="2">
        <f>IF(OR(M416="",H416=""),"",IF((M416="met")=(H416="met"),1,0))</f>
        <v/>
      </c>
    </row>
    <row r="417">
      <c r="A417" s="2" t="inlineStr">
        <is>
          <t>C13-06</t>
        </is>
      </c>
      <c r="B417" s="2">
        <f>Key!B417</f>
        <v/>
      </c>
      <c r="C417" s="2">
        <f>Key!C417</f>
        <v/>
      </c>
      <c r="D417" s="2">
        <f>IF(Key!D417="","",Key!D417)</f>
        <v/>
      </c>
      <c r="E417" s="2">
        <f>IF(Label_ChatGPT!F300="","",Label_ChatGPT!F300)</f>
        <v/>
      </c>
      <c r="F417" s="2">
        <f>IF(Label_ChatGPT!G300="","",Label_ChatGPT!G300)</f>
        <v/>
      </c>
      <c r="G417" s="5" t="n"/>
      <c r="H417" s="2">
        <f>IF(G417&lt;&gt;"",G417,IF(AND(E417&lt;&gt;"",E417=F417,E417&lt;&gt;"unsure"),E417,""))</f>
        <v/>
      </c>
      <c r="I417" s="2">
        <f>IF(AND(OR(E417="met",E417="not_met"),OR(F417="met",F417="not_met")),1,0)</f>
        <v/>
      </c>
      <c r="J417" s="2">
        <f>IF(I417=1,IF(E417=F417,1,0),"")</f>
        <v/>
      </c>
      <c r="K417" s="2" t="n"/>
      <c r="L417" s="2" t="n"/>
      <c r="M417" s="2" t="n"/>
      <c r="N417" s="2">
        <f>IF(OR(K417="",H417=""),"",IF((K417="met")=(H417="met"),1,0))</f>
        <v/>
      </c>
      <c r="O417" s="2">
        <f>IF(OR(L417="",H417=""),"",IF((L417="met")=(H417="met"),1,0))</f>
        <v/>
      </c>
      <c r="P417" s="2">
        <f>IF(OR(M417="",H417=""),"",IF((M417="met")=(H417="met"),1,0))</f>
        <v/>
      </c>
    </row>
    <row r="418">
      <c r="A418" s="2" t="inlineStr">
        <is>
          <t>C13-07</t>
        </is>
      </c>
      <c r="B418" s="2">
        <f>Key!B418</f>
        <v/>
      </c>
      <c r="C418" s="2">
        <f>Key!C418</f>
        <v/>
      </c>
      <c r="D418" s="2">
        <f>IF(Key!D418="","",Key!D418)</f>
        <v/>
      </c>
      <c r="E418" s="2">
        <f>IF(Label_ChatGPT!F301="","",Label_ChatGPT!F301)</f>
        <v/>
      </c>
      <c r="F418" s="2">
        <f>IF(Label_ChatGPT!G301="","",Label_ChatGPT!G301)</f>
        <v/>
      </c>
      <c r="G418" s="5" t="n"/>
      <c r="H418" s="2">
        <f>IF(G418&lt;&gt;"",G418,IF(AND(E418&lt;&gt;"",E418=F418,E418&lt;&gt;"unsure"),E418,""))</f>
        <v/>
      </c>
      <c r="I418" s="2">
        <f>IF(AND(OR(E418="met",E418="not_met"),OR(F418="met",F418="not_met")),1,0)</f>
        <v/>
      </c>
      <c r="J418" s="2">
        <f>IF(I418=1,IF(E418=F418,1,0),"")</f>
        <v/>
      </c>
      <c r="K418" s="2" t="n"/>
      <c r="L418" s="2" t="n"/>
      <c r="M418" s="2" t="n"/>
      <c r="N418" s="2">
        <f>IF(OR(K418="",H418=""),"",IF((K418="met")=(H418="met"),1,0))</f>
        <v/>
      </c>
      <c r="O418" s="2">
        <f>IF(OR(L418="",H418=""),"",IF((L418="met")=(H418="met"),1,0))</f>
        <v/>
      </c>
      <c r="P418" s="2">
        <f>IF(OR(M418="",H418=""),"",IF((M418="met")=(H418="met"),1,0))</f>
        <v/>
      </c>
    </row>
    <row r="419">
      <c r="A419" s="2" t="inlineStr">
        <is>
          <t>C13-08</t>
        </is>
      </c>
      <c r="B419" s="2">
        <f>Key!B419</f>
        <v/>
      </c>
      <c r="C419" s="2">
        <f>Key!C419</f>
        <v/>
      </c>
      <c r="D419" s="2">
        <f>IF(Key!D419="","",Key!D419)</f>
        <v/>
      </c>
      <c r="E419" s="2">
        <f>IF(Label_ChatGPT!F302="","",Label_ChatGPT!F302)</f>
        <v/>
      </c>
      <c r="F419" s="2">
        <f>IF(Label_ChatGPT!G302="","",Label_ChatGPT!G302)</f>
        <v/>
      </c>
      <c r="G419" s="5" t="n"/>
      <c r="H419" s="2">
        <f>IF(G419&lt;&gt;"",G419,IF(AND(E419&lt;&gt;"",E419=F419,E419&lt;&gt;"unsure"),E419,""))</f>
        <v/>
      </c>
      <c r="I419" s="2">
        <f>IF(AND(OR(E419="met",E419="not_met"),OR(F419="met",F419="not_met")),1,0)</f>
        <v/>
      </c>
      <c r="J419" s="2">
        <f>IF(I419=1,IF(E419=F419,1,0),"")</f>
        <v/>
      </c>
      <c r="K419" s="2" t="n"/>
      <c r="L419" s="2" t="n"/>
      <c r="M419" s="2" t="n"/>
      <c r="N419" s="2">
        <f>IF(OR(K419="",H419=""),"",IF((K419="met")=(H419="met"),1,0))</f>
        <v/>
      </c>
      <c r="O419" s="2">
        <f>IF(OR(L419="",H419=""),"",IF((L419="met")=(H419="met"),1,0))</f>
        <v/>
      </c>
      <c r="P419" s="2">
        <f>IF(OR(M419="",H419=""),"",IF((M419="met")=(H419="met"),1,0))</f>
        <v/>
      </c>
    </row>
    <row r="420">
      <c r="A420" s="2" t="inlineStr">
        <is>
          <t>C13-09</t>
        </is>
      </c>
      <c r="B420" s="2">
        <f>Key!B420</f>
        <v/>
      </c>
      <c r="C420" s="2">
        <f>Key!C420</f>
        <v/>
      </c>
      <c r="D420" s="2">
        <f>IF(Key!D420="","",Key!D420)</f>
        <v/>
      </c>
      <c r="E420" s="2">
        <f>IF(Label_ChatGPT!F303="","",Label_ChatGPT!F303)</f>
        <v/>
      </c>
      <c r="F420" s="2">
        <f>IF(Label_ChatGPT!G303="","",Label_ChatGPT!G303)</f>
        <v/>
      </c>
      <c r="G420" s="5" t="n"/>
      <c r="H420" s="2">
        <f>IF(G420&lt;&gt;"",G420,IF(AND(E420&lt;&gt;"",E420=F420,E420&lt;&gt;"unsure"),E420,""))</f>
        <v/>
      </c>
      <c r="I420" s="2">
        <f>IF(AND(OR(E420="met",E420="not_met"),OR(F420="met",F420="not_met")),1,0)</f>
        <v/>
      </c>
      <c r="J420" s="2">
        <f>IF(I420=1,IF(E420=F420,1,0),"")</f>
        <v/>
      </c>
      <c r="K420" s="2" t="n"/>
      <c r="L420" s="2" t="n"/>
      <c r="M420" s="2" t="n"/>
      <c r="N420" s="2">
        <f>IF(OR(K420="",H420=""),"",IF((K420="met")=(H420="met"),1,0))</f>
        <v/>
      </c>
      <c r="O420" s="2">
        <f>IF(OR(L420="",H420=""),"",IF((L420="met")=(H420="met"),1,0))</f>
        <v/>
      </c>
      <c r="P420" s="2">
        <f>IF(OR(M420="",H420=""),"",IF((M420="met")=(H420="met"),1,0))</f>
        <v/>
      </c>
    </row>
    <row r="421">
      <c r="A421" s="2" t="inlineStr">
        <is>
          <t>C13-10</t>
        </is>
      </c>
      <c r="B421" s="2">
        <f>Key!B421</f>
        <v/>
      </c>
      <c r="C421" s="2">
        <f>Key!C421</f>
        <v/>
      </c>
      <c r="D421" s="2">
        <f>IF(Key!D421="","",Key!D421)</f>
        <v/>
      </c>
      <c r="E421" s="2">
        <f>IF(Label_ChatGPT!F304="","",Label_ChatGPT!F304)</f>
        <v/>
      </c>
      <c r="F421" s="2">
        <f>IF(Label_ChatGPT!G304="","",Label_ChatGPT!G304)</f>
        <v/>
      </c>
      <c r="G421" s="5" t="n"/>
      <c r="H421" s="2">
        <f>IF(G421&lt;&gt;"",G421,IF(AND(E421&lt;&gt;"",E421=F421,E421&lt;&gt;"unsure"),E421,""))</f>
        <v/>
      </c>
      <c r="I421" s="2">
        <f>IF(AND(OR(E421="met",E421="not_met"),OR(F421="met",F421="not_met")),1,0)</f>
        <v/>
      </c>
      <c r="J421" s="2">
        <f>IF(I421=1,IF(E421=F421,1,0),"")</f>
        <v/>
      </c>
      <c r="K421" s="2" t="n"/>
      <c r="L421" s="2" t="n"/>
      <c r="M421" s="2" t="n"/>
      <c r="N421" s="2">
        <f>IF(OR(K421="",H421=""),"",IF((K421="met")=(H421="met"),1,0))</f>
        <v/>
      </c>
      <c r="O421" s="2">
        <f>IF(OR(L421="",H421=""),"",IF((L421="met")=(H421="met"),1,0))</f>
        <v/>
      </c>
      <c r="P421" s="2">
        <f>IF(OR(M421="",H421=""),"",IF((M421="met")=(H421="met"),1,0))</f>
        <v/>
      </c>
    </row>
    <row r="422">
      <c r="A422" s="2" t="inlineStr">
        <is>
          <t>C13-11</t>
        </is>
      </c>
      <c r="B422" s="2">
        <f>Key!B422</f>
        <v/>
      </c>
      <c r="C422" s="2">
        <f>Key!C422</f>
        <v/>
      </c>
      <c r="D422" s="2">
        <f>IF(Key!D422="","",Key!D422)</f>
        <v/>
      </c>
      <c r="E422" s="2">
        <f>IF(Label_ChatGPT!F305="","",Label_ChatGPT!F305)</f>
        <v/>
      </c>
      <c r="F422" s="2">
        <f>IF(Label_ChatGPT!G305="","",Label_ChatGPT!G305)</f>
        <v/>
      </c>
      <c r="G422" s="5" t="n"/>
      <c r="H422" s="2">
        <f>IF(G422&lt;&gt;"",G422,IF(AND(E422&lt;&gt;"",E422=F422,E422&lt;&gt;"unsure"),E422,""))</f>
        <v/>
      </c>
      <c r="I422" s="2">
        <f>IF(AND(OR(E422="met",E422="not_met"),OR(F422="met",F422="not_met")),1,0)</f>
        <v/>
      </c>
      <c r="J422" s="2">
        <f>IF(I422=1,IF(E422=F422,1,0),"")</f>
        <v/>
      </c>
      <c r="K422" s="2" t="n"/>
      <c r="L422" s="2" t="n"/>
      <c r="M422" s="2" t="n"/>
      <c r="N422" s="2">
        <f>IF(OR(K422="",H422=""),"",IF((K422="met")=(H422="met"),1,0))</f>
        <v/>
      </c>
      <c r="O422" s="2">
        <f>IF(OR(L422="",H422=""),"",IF((L422="met")=(H422="met"),1,0))</f>
        <v/>
      </c>
      <c r="P422" s="2">
        <f>IF(OR(M422="",H422=""),"",IF((M422="met")=(H422="met"),1,0))</f>
        <v/>
      </c>
    </row>
    <row r="423">
      <c r="A423" s="2" t="inlineStr">
        <is>
          <t>C13-12</t>
        </is>
      </c>
      <c r="B423" s="2">
        <f>Key!B423</f>
        <v/>
      </c>
      <c r="C423" s="2">
        <f>Key!C423</f>
        <v/>
      </c>
      <c r="D423" s="2">
        <f>IF(Key!D423="","",Key!D423)</f>
        <v/>
      </c>
      <c r="E423" s="2">
        <f>IF(Label_ChatGPT!F306="","",Label_ChatGPT!F306)</f>
        <v/>
      </c>
      <c r="F423" s="2">
        <f>IF(Label_ChatGPT!G306="","",Label_ChatGPT!G306)</f>
        <v/>
      </c>
      <c r="G423" s="5" t="n"/>
      <c r="H423" s="2">
        <f>IF(G423&lt;&gt;"",G423,IF(AND(E423&lt;&gt;"",E423=F423,E423&lt;&gt;"unsure"),E423,""))</f>
        <v/>
      </c>
      <c r="I423" s="2">
        <f>IF(AND(OR(E423="met",E423="not_met"),OR(F423="met",F423="not_met")),1,0)</f>
        <v/>
      </c>
      <c r="J423" s="2">
        <f>IF(I423=1,IF(E423=F423,1,0),"")</f>
        <v/>
      </c>
      <c r="K423" s="2" t="n"/>
      <c r="L423" s="2" t="n"/>
      <c r="M423" s="2" t="n"/>
      <c r="N423" s="2">
        <f>IF(OR(K423="",H423=""),"",IF((K423="met")=(H423="met"),1,0))</f>
        <v/>
      </c>
      <c r="O423" s="2">
        <f>IF(OR(L423="",H423=""),"",IF((L423="met")=(H423="met"),1,0))</f>
        <v/>
      </c>
      <c r="P423" s="2">
        <f>IF(OR(M423="",H423=""),"",IF((M423="met")=(H423="met"),1,0))</f>
        <v/>
      </c>
    </row>
    <row r="424">
      <c r="A424" s="2" t="inlineStr">
        <is>
          <t>C14-01</t>
        </is>
      </c>
      <c r="B424" s="2">
        <f>Key!B424</f>
        <v/>
      </c>
      <c r="C424" s="2">
        <f>Key!C424</f>
        <v/>
      </c>
      <c r="D424" s="2">
        <f>IF(Key!D424="","",Key!D424)</f>
        <v/>
      </c>
      <c r="E424" s="2">
        <f>IF(Label_ChatGPT!F307="","",Label_ChatGPT!F307)</f>
        <v/>
      </c>
      <c r="F424" s="2">
        <f>IF(Label_ChatGPT!G307="","",Label_ChatGPT!G307)</f>
        <v/>
      </c>
      <c r="G424" s="5" t="n"/>
      <c r="H424" s="2">
        <f>IF(G424&lt;&gt;"",G424,IF(AND(E424&lt;&gt;"",E424=F424,E424&lt;&gt;"unsure"),E424,""))</f>
        <v/>
      </c>
      <c r="I424" s="2">
        <f>IF(AND(OR(E424="met",E424="not_met"),OR(F424="met",F424="not_met")),1,0)</f>
        <v/>
      </c>
      <c r="J424" s="2">
        <f>IF(I424=1,IF(E424=F424,1,0),"")</f>
        <v/>
      </c>
      <c r="K424" s="2" t="n"/>
      <c r="L424" s="2" t="n"/>
      <c r="M424" s="2" t="n"/>
      <c r="N424" s="2">
        <f>IF(OR(K424="",H424=""),"",IF((K424="met")=(H424="met"),1,0))</f>
        <v/>
      </c>
      <c r="O424" s="2">
        <f>IF(OR(L424="",H424=""),"",IF((L424="met")=(H424="met"),1,0))</f>
        <v/>
      </c>
      <c r="P424" s="2">
        <f>IF(OR(M424="",H424=""),"",IF((M424="met")=(H424="met"),1,0))</f>
        <v/>
      </c>
    </row>
    <row r="425">
      <c r="A425" s="2" t="inlineStr">
        <is>
          <t>C14-02</t>
        </is>
      </c>
      <c r="B425" s="2">
        <f>Key!B425</f>
        <v/>
      </c>
      <c r="C425" s="2">
        <f>Key!C425</f>
        <v/>
      </c>
      <c r="D425" s="2">
        <f>IF(Key!D425="","",Key!D425)</f>
        <v/>
      </c>
      <c r="E425" s="2">
        <f>IF(Label_ChatGPT!F308="","",Label_ChatGPT!F308)</f>
        <v/>
      </c>
      <c r="F425" s="2">
        <f>IF(Label_ChatGPT!G308="","",Label_ChatGPT!G308)</f>
        <v/>
      </c>
      <c r="G425" s="5" t="n"/>
      <c r="H425" s="2">
        <f>IF(G425&lt;&gt;"",G425,IF(AND(E425&lt;&gt;"",E425=F425,E425&lt;&gt;"unsure"),E425,""))</f>
        <v/>
      </c>
      <c r="I425" s="2">
        <f>IF(AND(OR(E425="met",E425="not_met"),OR(F425="met",F425="not_met")),1,0)</f>
        <v/>
      </c>
      <c r="J425" s="2">
        <f>IF(I425=1,IF(E425=F425,1,0),"")</f>
        <v/>
      </c>
      <c r="K425" s="2" t="n"/>
      <c r="L425" s="2" t="n"/>
      <c r="M425" s="2" t="n"/>
      <c r="N425" s="2">
        <f>IF(OR(K425="",H425=""),"",IF((K425="met")=(H425="met"),1,0))</f>
        <v/>
      </c>
      <c r="O425" s="2">
        <f>IF(OR(L425="",H425=""),"",IF((L425="met")=(H425="met"),1,0))</f>
        <v/>
      </c>
      <c r="P425" s="2">
        <f>IF(OR(M425="",H425=""),"",IF((M425="met")=(H425="met"),1,0))</f>
        <v/>
      </c>
    </row>
    <row r="426">
      <c r="A426" s="2" t="inlineStr">
        <is>
          <t>C14-03</t>
        </is>
      </c>
      <c r="B426" s="2">
        <f>Key!B426</f>
        <v/>
      </c>
      <c r="C426" s="2">
        <f>Key!C426</f>
        <v/>
      </c>
      <c r="D426" s="2">
        <f>IF(Key!D426="","",Key!D426)</f>
        <v/>
      </c>
      <c r="E426" s="2">
        <f>IF(Label_ChatGPT!F309="","",Label_ChatGPT!F309)</f>
        <v/>
      </c>
      <c r="F426" s="2">
        <f>IF(Label_ChatGPT!G309="","",Label_ChatGPT!G309)</f>
        <v/>
      </c>
      <c r="G426" s="5" t="n"/>
      <c r="H426" s="2">
        <f>IF(G426&lt;&gt;"",G426,IF(AND(E426&lt;&gt;"",E426=F426,E426&lt;&gt;"unsure"),E426,""))</f>
        <v/>
      </c>
      <c r="I426" s="2">
        <f>IF(AND(OR(E426="met",E426="not_met"),OR(F426="met",F426="not_met")),1,0)</f>
        <v/>
      </c>
      <c r="J426" s="2">
        <f>IF(I426=1,IF(E426=F426,1,0),"")</f>
        <v/>
      </c>
      <c r="K426" s="2" t="n"/>
      <c r="L426" s="2" t="n"/>
      <c r="M426" s="2" t="n"/>
      <c r="N426" s="2">
        <f>IF(OR(K426="",H426=""),"",IF((K426="met")=(H426="met"),1,0))</f>
        <v/>
      </c>
      <c r="O426" s="2">
        <f>IF(OR(L426="",H426=""),"",IF((L426="met")=(H426="met"),1,0))</f>
        <v/>
      </c>
      <c r="P426" s="2">
        <f>IF(OR(M426="",H426=""),"",IF((M426="met")=(H426="met"),1,0))</f>
        <v/>
      </c>
    </row>
    <row r="427">
      <c r="A427" s="2" t="inlineStr">
        <is>
          <t>C14-04</t>
        </is>
      </c>
      <c r="B427" s="2">
        <f>Key!B427</f>
        <v/>
      </c>
      <c r="C427" s="2">
        <f>Key!C427</f>
        <v/>
      </c>
      <c r="D427" s="2">
        <f>IF(Key!D427="","",Key!D427)</f>
        <v/>
      </c>
      <c r="E427" s="2">
        <f>IF(Label_ChatGPT!F310="","",Label_ChatGPT!F310)</f>
        <v/>
      </c>
      <c r="F427" s="2">
        <f>IF(Label_ChatGPT!G310="","",Label_ChatGPT!G310)</f>
        <v/>
      </c>
      <c r="G427" s="5" t="n"/>
      <c r="H427" s="2">
        <f>IF(G427&lt;&gt;"",G427,IF(AND(E427&lt;&gt;"",E427=F427,E427&lt;&gt;"unsure"),E427,""))</f>
        <v/>
      </c>
      <c r="I427" s="2">
        <f>IF(AND(OR(E427="met",E427="not_met"),OR(F427="met",F427="not_met")),1,0)</f>
        <v/>
      </c>
      <c r="J427" s="2">
        <f>IF(I427=1,IF(E427=F427,1,0),"")</f>
        <v/>
      </c>
      <c r="K427" s="2" t="n"/>
      <c r="L427" s="2" t="n"/>
      <c r="M427" s="2" t="n"/>
      <c r="N427" s="2">
        <f>IF(OR(K427="",H427=""),"",IF((K427="met")=(H427="met"),1,0))</f>
        <v/>
      </c>
      <c r="O427" s="2">
        <f>IF(OR(L427="",H427=""),"",IF((L427="met")=(H427="met"),1,0))</f>
        <v/>
      </c>
      <c r="P427" s="2">
        <f>IF(OR(M427="",H427=""),"",IF((M427="met")=(H427="met"),1,0))</f>
        <v/>
      </c>
    </row>
    <row r="428">
      <c r="A428" s="2" t="inlineStr">
        <is>
          <t>C14-05</t>
        </is>
      </c>
      <c r="B428" s="2">
        <f>Key!B428</f>
        <v/>
      </c>
      <c r="C428" s="2">
        <f>Key!C428</f>
        <v/>
      </c>
      <c r="D428" s="2">
        <f>IF(Key!D428="","",Key!D428)</f>
        <v/>
      </c>
      <c r="E428" s="2">
        <f>IF(Label_ChatGPT!F311="","",Label_ChatGPT!F311)</f>
        <v/>
      </c>
      <c r="F428" s="2">
        <f>IF(Label_ChatGPT!G311="","",Label_ChatGPT!G311)</f>
        <v/>
      </c>
      <c r="G428" s="5" t="n"/>
      <c r="H428" s="2">
        <f>IF(G428&lt;&gt;"",G428,IF(AND(E428&lt;&gt;"",E428=F428,E428&lt;&gt;"unsure"),E428,""))</f>
        <v/>
      </c>
      <c r="I428" s="2">
        <f>IF(AND(OR(E428="met",E428="not_met"),OR(F428="met",F428="not_met")),1,0)</f>
        <v/>
      </c>
      <c r="J428" s="2">
        <f>IF(I428=1,IF(E428=F428,1,0),"")</f>
        <v/>
      </c>
      <c r="K428" s="2" t="n"/>
      <c r="L428" s="2" t="n"/>
      <c r="M428" s="2" t="n"/>
      <c r="N428" s="2">
        <f>IF(OR(K428="",H428=""),"",IF((K428="met")=(H428="met"),1,0))</f>
        <v/>
      </c>
      <c r="O428" s="2">
        <f>IF(OR(L428="",H428=""),"",IF((L428="met")=(H428="met"),1,0))</f>
        <v/>
      </c>
      <c r="P428" s="2">
        <f>IF(OR(M428="",H428=""),"",IF((M428="met")=(H428="met"),1,0))</f>
        <v/>
      </c>
    </row>
    <row r="429">
      <c r="A429" s="2" t="inlineStr">
        <is>
          <t>C14-06</t>
        </is>
      </c>
      <c r="B429" s="2">
        <f>Key!B429</f>
        <v/>
      </c>
      <c r="C429" s="2">
        <f>Key!C429</f>
        <v/>
      </c>
      <c r="D429" s="2">
        <f>IF(Key!D429="","",Key!D429)</f>
        <v/>
      </c>
      <c r="E429" s="2">
        <f>IF(Label_ChatGPT!F312="","",Label_ChatGPT!F312)</f>
        <v/>
      </c>
      <c r="F429" s="2">
        <f>IF(Label_ChatGPT!G312="","",Label_ChatGPT!G312)</f>
        <v/>
      </c>
      <c r="G429" s="5" t="n"/>
      <c r="H429" s="2">
        <f>IF(G429&lt;&gt;"",G429,IF(AND(E429&lt;&gt;"",E429=F429,E429&lt;&gt;"unsure"),E429,""))</f>
        <v/>
      </c>
      <c r="I429" s="2">
        <f>IF(AND(OR(E429="met",E429="not_met"),OR(F429="met",F429="not_met")),1,0)</f>
        <v/>
      </c>
      <c r="J429" s="2">
        <f>IF(I429=1,IF(E429=F429,1,0),"")</f>
        <v/>
      </c>
      <c r="K429" s="2" t="n"/>
      <c r="L429" s="2" t="n"/>
      <c r="M429" s="2" t="n"/>
      <c r="N429" s="2">
        <f>IF(OR(K429="",H429=""),"",IF((K429="met")=(H429="met"),1,0))</f>
        <v/>
      </c>
      <c r="O429" s="2">
        <f>IF(OR(L429="",H429=""),"",IF((L429="met")=(H429="met"),1,0))</f>
        <v/>
      </c>
      <c r="P429" s="2">
        <f>IF(OR(M429="",H429=""),"",IF((M429="met")=(H429="met"),1,0))</f>
        <v/>
      </c>
    </row>
    <row r="430">
      <c r="A430" s="2" t="inlineStr">
        <is>
          <t>C14-07</t>
        </is>
      </c>
      <c r="B430" s="2">
        <f>Key!B430</f>
        <v/>
      </c>
      <c r="C430" s="2">
        <f>Key!C430</f>
        <v/>
      </c>
      <c r="D430" s="2">
        <f>IF(Key!D430="","",Key!D430)</f>
        <v/>
      </c>
      <c r="E430" s="2">
        <f>IF(Label_ChatGPT!F313="","",Label_ChatGPT!F313)</f>
        <v/>
      </c>
      <c r="F430" s="2">
        <f>IF(Label_ChatGPT!G313="","",Label_ChatGPT!G313)</f>
        <v/>
      </c>
      <c r="G430" s="5" t="n"/>
      <c r="H430" s="2">
        <f>IF(G430&lt;&gt;"",G430,IF(AND(E430&lt;&gt;"",E430=F430,E430&lt;&gt;"unsure"),E430,""))</f>
        <v/>
      </c>
      <c r="I430" s="2">
        <f>IF(AND(OR(E430="met",E430="not_met"),OR(F430="met",F430="not_met")),1,0)</f>
        <v/>
      </c>
      <c r="J430" s="2">
        <f>IF(I430=1,IF(E430=F430,1,0),"")</f>
        <v/>
      </c>
      <c r="K430" s="2" t="n"/>
      <c r="L430" s="2" t="n"/>
      <c r="M430" s="2" t="n"/>
      <c r="N430" s="2">
        <f>IF(OR(K430="",H430=""),"",IF((K430="met")=(H430="met"),1,0))</f>
        <v/>
      </c>
      <c r="O430" s="2">
        <f>IF(OR(L430="",H430=""),"",IF((L430="met")=(H430="met"),1,0))</f>
        <v/>
      </c>
      <c r="P430" s="2">
        <f>IF(OR(M430="",H430=""),"",IF((M430="met")=(H430="met"),1,0))</f>
        <v/>
      </c>
    </row>
    <row r="431">
      <c r="A431" s="2" t="inlineStr">
        <is>
          <t>C14-08</t>
        </is>
      </c>
      <c r="B431" s="2">
        <f>Key!B431</f>
        <v/>
      </c>
      <c r="C431" s="2">
        <f>Key!C431</f>
        <v/>
      </c>
      <c r="D431" s="2">
        <f>IF(Key!D431="","",Key!D431)</f>
        <v/>
      </c>
      <c r="E431" s="2">
        <f>IF(Label_ChatGPT!F314="","",Label_ChatGPT!F314)</f>
        <v/>
      </c>
      <c r="F431" s="2">
        <f>IF(Label_ChatGPT!G314="","",Label_ChatGPT!G314)</f>
        <v/>
      </c>
      <c r="G431" s="5" t="n"/>
      <c r="H431" s="2">
        <f>IF(G431&lt;&gt;"",G431,IF(AND(E431&lt;&gt;"",E431=F431,E431&lt;&gt;"unsure"),E431,""))</f>
        <v/>
      </c>
      <c r="I431" s="2">
        <f>IF(AND(OR(E431="met",E431="not_met"),OR(F431="met",F431="not_met")),1,0)</f>
        <v/>
      </c>
      <c r="J431" s="2">
        <f>IF(I431=1,IF(E431=F431,1,0),"")</f>
        <v/>
      </c>
      <c r="K431" s="2" t="n"/>
      <c r="L431" s="2" t="n"/>
      <c r="M431" s="2" t="n"/>
      <c r="N431" s="2">
        <f>IF(OR(K431="",H431=""),"",IF((K431="met")=(H431="met"),1,0))</f>
        <v/>
      </c>
      <c r="O431" s="2">
        <f>IF(OR(L431="",H431=""),"",IF((L431="met")=(H431="met"),1,0))</f>
        <v/>
      </c>
      <c r="P431" s="2">
        <f>IF(OR(M431="",H431=""),"",IF((M431="met")=(H431="met"),1,0))</f>
        <v/>
      </c>
    </row>
    <row r="432">
      <c r="A432" s="2" t="inlineStr">
        <is>
          <t>C14-09</t>
        </is>
      </c>
      <c r="B432" s="2">
        <f>Key!B432</f>
        <v/>
      </c>
      <c r="C432" s="2">
        <f>Key!C432</f>
        <v/>
      </c>
      <c r="D432" s="2">
        <f>IF(Key!D432="","",Key!D432)</f>
        <v/>
      </c>
      <c r="E432" s="2">
        <f>IF(Label_ChatGPT!F315="","",Label_ChatGPT!F315)</f>
        <v/>
      </c>
      <c r="F432" s="2">
        <f>IF(Label_ChatGPT!G315="","",Label_ChatGPT!G315)</f>
        <v/>
      </c>
      <c r="G432" s="5" t="n"/>
      <c r="H432" s="2">
        <f>IF(G432&lt;&gt;"",G432,IF(AND(E432&lt;&gt;"",E432=F432,E432&lt;&gt;"unsure"),E432,""))</f>
        <v/>
      </c>
      <c r="I432" s="2">
        <f>IF(AND(OR(E432="met",E432="not_met"),OR(F432="met",F432="not_met")),1,0)</f>
        <v/>
      </c>
      <c r="J432" s="2">
        <f>IF(I432=1,IF(E432=F432,1,0),"")</f>
        <v/>
      </c>
      <c r="K432" s="2" t="n"/>
      <c r="L432" s="2" t="n"/>
      <c r="M432" s="2" t="n"/>
      <c r="N432" s="2">
        <f>IF(OR(K432="",H432=""),"",IF((K432="met")=(H432="met"),1,0))</f>
        <v/>
      </c>
      <c r="O432" s="2">
        <f>IF(OR(L432="",H432=""),"",IF((L432="met")=(H432="met"),1,0))</f>
        <v/>
      </c>
      <c r="P432" s="2">
        <f>IF(OR(M432="",H432=""),"",IF((M432="met")=(H432="met"),1,0))</f>
        <v/>
      </c>
    </row>
    <row r="433">
      <c r="A433" s="2" t="inlineStr">
        <is>
          <t>C14-10</t>
        </is>
      </c>
      <c r="B433" s="2">
        <f>Key!B433</f>
        <v/>
      </c>
      <c r="C433" s="2">
        <f>Key!C433</f>
        <v/>
      </c>
      <c r="D433" s="2">
        <f>IF(Key!D433="","",Key!D433)</f>
        <v/>
      </c>
      <c r="E433" s="2">
        <f>IF(Label_ChatGPT!F316="","",Label_ChatGPT!F316)</f>
        <v/>
      </c>
      <c r="F433" s="2">
        <f>IF(Label_ChatGPT!G316="","",Label_ChatGPT!G316)</f>
        <v/>
      </c>
      <c r="G433" s="5" t="n"/>
      <c r="H433" s="2">
        <f>IF(G433&lt;&gt;"",G433,IF(AND(E433&lt;&gt;"",E433=F433,E433&lt;&gt;"unsure"),E433,""))</f>
        <v/>
      </c>
      <c r="I433" s="2">
        <f>IF(AND(OR(E433="met",E433="not_met"),OR(F433="met",F433="not_met")),1,0)</f>
        <v/>
      </c>
      <c r="J433" s="2">
        <f>IF(I433=1,IF(E433=F433,1,0),"")</f>
        <v/>
      </c>
      <c r="K433" s="2" t="n"/>
      <c r="L433" s="2" t="n"/>
      <c r="M433" s="2" t="n"/>
      <c r="N433" s="2">
        <f>IF(OR(K433="",H433=""),"",IF((K433="met")=(H433="met"),1,0))</f>
        <v/>
      </c>
      <c r="O433" s="2">
        <f>IF(OR(L433="",H433=""),"",IF((L433="met")=(H433="met"),1,0))</f>
        <v/>
      </c>
      <c r="P433" s="2">
        <f>IF(OR(M433="",H433=""),"",IF((M433="met")=(H433="met"),1,0))</f>
        <v/>
      </c>
    </row>
    <row r="434">
      <c r="A434" s="2" t="inlineStr">
        <is>
          <t>C14-11</t>
        </is>
      </c>
      <c r="B434" s="2">
        <f>Key!B434</f>
        <v/>
      </c>
      <c r="C434" s="2">
        <f>Key!C434</f>
        <v/>
      </c>
      <c r="D434" s="2">
        <f>IF(Key!D434="","",Key!D434)</f>
        <v/>
      </c>
      <c r="E434" s="2">
        <f>IF(Label_ChatGPT!F317="","",Label_ChatGPT!F317)</f>
        <v/>
      </c>
      <c r="F434" s="2">
        <f>IF(Label_ChatGPT!G317="","",Label_ChatGPT!G317)</f>
        <v/>
      </c>
      <c r="G434" s="5" t="n"/>
      <c r="H434" s="2">
        <f>IF(G434&lt;&gt;"",G434,IF(AND(E434&lt;&gt;"",E434=F434,E434&lt;&gt;"unsure"),E434,""))</f>
        <v/>
      </c>
      <c r="I434" s="2">
        <f>IF(AND(OR(E434="met",E434="not_met"),OR(F434="met",F434="not_met")),1,0)</f>
        <v/>
      </c>
      <c r="J434" s="2">
        <f>IF(I434=1,IF(E434=F434,1,0),"")</f>
        <v/>
      </c>
      <c r="K434" s="2" t="n"/>
      <c r="L434" s="2" t="n"/>
      <c r="M434" s="2" t="n"/>
      <c r="N434" s="2">
        <f>IF(OR(K434="",H434=""),"",IF((K434="met")=(H434="met"),1,0))</f>
        <v/>
      </c>
      <c r="O434" s="2">
        <f>IF(OR(L434="",H434=""),"",IF((L434="met")=(H434="met"),1,0))</f>
        <v/>
      </c>
      <c r="P434" s="2">
        <f>IF(OR(M434="",H434=""),"",IF((M434="met")=(H434="met"),1,0))</f>
        <v/>
      </c>
    </row>
    <row r="435">
      <c r="A435" s="2" t="inlineStr">
        <is>
          <t>C14-12</t>
        </is>
      </c>
      <c r="B435" s="2">
        <f>Key!B435</f>
        <v/>
      </c>
      <c r="C435" s="2">
        <f>Key!C435</f>
        <v/>
      </c>
      <c r="D435" s="2">
        <f>IF(Key!D435="","",Key!D435)</f>
        <v/>
      </c>
      <c r="E435" s="2">
        <f>IF(Label_ChatGPT!F318="","",Label_ChatGPT!F318)</f>
        <v/>
      </c>
      <c r="F435" s="2">
        <f>IF(Label_ChatGPT!G318="","",Label_ChatGPT!G318)</f>
        <v/>
      </c>
      <c r="G435" s="5" t="n"/>
      <c r="H435" s="2">
        <f>IF(G435&lt;&gt;"",G435,IF(AND(E435&lt;&gt;"",E435=F435,E435&lt;&gt;"unsure"),E435,""))</f>
        <v/>
      </c>
      <c r="I435" s="2">
        <f>IF(AND(OR(E435="met",E435="not_met"),OR(F435="met",F435="not_met")),1,0)</f>
        <v/>
      </c>
      <c r="J435" s="2">
        <f>IF(I435=1,IF(E435=F435,1,0),"")</f>
        <v/>
      </c>
      <c r="K435" s="2" t="n"/>
      <c r="L435" s="2" t="n"/>
      <c r="M435" s="2" t="n"/>
      <c r="N435" s="2">
        <f>IF(OR(K435="",H435=""),"",IF((K435="met")=(H435="met"),1,0))</f>
        <v/>
      </c>
      <c r="O435" s="2">
        <f>IF(OR(L435="",H435=""),"",IF((L435="met")=(H435="met"),1,0))</f>
        <v/>
      </c>
      <c r="P435" s="2">
        <f>IF(OR(M435="",H435=""),"",IF((M435="met")=(H435="met"),1,0))</f>
        <v/>
      </c>
    </row>
    <row r="436">
      <c r="A436" s="2" t="inlineStr">
        <is>
          <t>C14-13</t>
        </is>
      </c>
      <c r="B436" s="2">
        <f>Key!B436</f>
        <v/>
      </c>
      <c r="C436" s="2">
        <f>Key!C436</f>
        <v/>
      </c>
      <c r="D436" s="2">
        <f>IF(Key!D436="","",Key!D436)</f>
        <v/>
      </c>
      <c r="E436" s="2">
        <f>IF(Label_ChatGPT!F319="","",Label_ChatGPT!F319)</f>
        <v/>
      </c>
      <c r="F436" s="2">
        <f>IF(Label_ChatGPT!G319="","",Label_ChatGPT!G319)</f>
        <v/>
      </c>
      <c r="G436" s="5" t="n"/>
      <c r="H436" s="2">
        <f>IF(G436&lt;&gt;"",G436,IF(AND(E436&lt;&gt;"",E436=F436,E436&lt;&gt;"unsure"),E436,""))</f>
        <v/>
      </c>
      <c r="I436" s="2">
        <f>IF(AND(OR(E436="met",E436="not_met"),OR(F436="met",F436="not_met")),1,0)</f>
        <v/>
      </c>
      <c r="J436" s="2">
        <f>IF(I436=1,IF(E436=F436,1,0),"")</f>
        <v/>
      </c>
      <c r="K436" s="2" t="n"/>
      <c r="L436" s="2" t="n"/>
      <c r="M436" s="2" t="n"/>
      <c r="N436" s="2">
        <f>IF(OR(K436="",H436=""),"",IF((K436="met")=(H436="met"),1,0))</f>
        <v/>
      </c>
      <c r="O436" s="2">
        <f>IF(OR(L436="",H436=""),"",IF((L436="met")=(H436="met"),1,0))</f>
        <v/>
      </c>
      <c r="P436" s="2">
        <f>IF(OR(M436="",H436=""),"",IF((M436="met")=(H436="met"),1,0))</f>
        <v/>
      </c>
    </row>
    <row r="437">
      <c r="A437" s="2" t="inlineStr">
        <is>
          <t>C15-01</t>
        </is>
      </c>
      <c r="B437" s="2">
        <f>Key!B437</f>
        <v/>
      </c>
      <c r="C437" s="2">
        <f>Key!C437</f>
        <v/>
      </c>
      <c r="D437" s="2">
        <f>IF(Key!D437="","",Key!D437)</f>
        <v/>
      </c>
      <c r="E437" s="2">
        <f>IF(Label_ChatGPT!F320="","",Label_ChatGPT!F320)</f>
        <v/>
      </c>
      <c r="F437" s="2">
        <f>IF(Label_ChatGPT!G320="","",Label_ChatGPT!G320)</f>
        <v/>
      </c>
      <c r="G437" s="5" t="n"/>
      <c r="H437" s="2">
        <f>IF(G437&lt;&gt;"",G437,IF(AND(E437&lt;&gt;"",E437=F437,E437&lt;&gt;"unsure"),E437,""))</f>
        <v/>
      </c>
      <c r="I437" s="2">
        <f>IF(AND(OR(E437="met",E437="not_met"),OR(F437="met",F437="not_met")),1,0)</f>
        <v/>
      </c>
      <c r="J437" s="2">
        <f>IF(I437=1,IF(E437=F437,1,0),"")</f>
        <v/>
      </c>
      <c r="K437" s="2" t="n"/>
      <c r="L437" s="2" t="n"/>
      <c r="M437" s="2" t="n"/>
      <c r="N437" s="2">
        <f>IF(OR(K437="",H437=""),"",IF((K437="met")=(H437="met"),1,0))</f>
        <v/>
      </c>
      <c r="O437" s="2">
        <f>IF(OR(L437="",H437=""),"",IF((L437="met")=(H437="met"),1,0))</f>
        <v/>
      </c>
      <c r="P437" s="2">
        <f>IF(OR(M437="",H437=""),"",IF((M437="met")=(H437="met"),1,0))</f>
        <v/>
      </c>
    </row>
    <row r="438">
      <c r="A438" s="2" t="inlineStr">
        <is>
          <t>C15-02</t>
        </is>
      </c>
      <c r="B438" s="2">
        <f>Key!B438</f>
        <v/>
      </c>
      <c r="C438" s="2">
        <f>Key!C438</f>
        <v/>
      </c>
      <c r="D438" s="2">
        <f>IF(Key!D438="","",Key!D438)</f>
        <v/>
      </c>
      <c r="E438" s="2">
        <f>IF(Label_ChatGPT!F321="","",Label_ChatGPT!F321)</f>
        <v/>
      </c>
      <c r="F438" s="2">
        <f>IF(Label_ChatGPT!G321="","",Label_ChatGPT!G321)</f>
        <v/>
      </c>
      <c r="G438" s="5" t="n"/>
      <c r="H438" s="2">
        <f>IF(G438&lt;&gt;"",G438,IF(AND(E438&lt;&gt;"",E438=F438,E438&lt;&gt;"unsure"),E438,""))</f>
        <v/>
      </c>
      <c r="I438" s="2">
        <f>IF(AND(OR(E438="met",E438="not_met"),OR(F438="met",F438="not_met")),1,0)</f>
        <v/>
      </c>
      <c r="J438" s="2">
        <f>IF(I438=1,IF(E438=F438,1,0),"")</f>
        <v/>
      </c>
      <c r="K438" s="2" t="n"/>
      <c r="L438" s="2" t="n"/>
      <c r="M438" s="2" t="n"/>
      <c r="N438" s="2">
        <f>IF(OR(K438="",H438=""),"",IF((K438="met")=(H438="met"),1,0))</f>
        <v/>
      </c>
      <c r="O438" s="2">
        <f>IF(OR(L438="",H438=""),"",IF((L438="met")=(H438="met"),1,0))</f>
        <v/>
      </c>
      <c r="P438" s="2">
        <f>IF(OR(M438="",H438=""),"",IF((M438="met")=(H438="met"),1,0))</f>
        <v/>
      </c>
    </row>
    <row r="439">
      <c r="A439" s="2" t="inlineStr">
        <is>
          <t>C15-03</t>
        </is>
      </c>
      <c r="B439" s="2">
        <f>Key!B439</f>
        <v/>
      </c>
      <c r="C439" s="2">
        <f>Key!C439</f>
        <v/>
      </c>
      <c r="D439" s="2">
        <f>IF(Key!D439="","",Key!D439)</f>
        <v/>
      </c>
      <c r="E439" s="2">
        <f>IF(Label_ChatGPT!F322="","",Label_ChatGPT!F322)</f>
        <v/>
      </c>
      <c r="F439" s="2">
        <f>IF(Label_ChatGPT!G322="","",Label_ChatGPT!G322)</f>
        <v/>
      </c>
      <c r="G439" s="5" t="n"/>
      <c r="H439" s="2">
        <f>IF(G439&lt;&gt;"",G439,IF(AND(E439&lt;&gt;"",E439=F439,E439&lt;&gt;"unsure"),E439,""))</f>
        <v/>
      </c>
      <c r="I439" s="2">
        <f>IF(AND(OR(E439="met",E439="not_met"),OR(F439="met",F439="not_met")),1,0)</f>
        <v/>
      </c>
      <c r="J439" s="2">
        <f>IF(I439=1,IF(E439=F439,1,0),"")</f>
        <v/>
      </c>
      <c r="K439" s="2" t="n"/>
      <c r="L439" s="2" t="n"/>
      <c r="M439" s="2" t="n"/>
      <c r="N439" s="2">
        <f>IF(OR(K439="",H439=""),"",IF((K439="met")=(H439="met"),1,0))</f>
        <v/>
      </c>
      <c r="O439" s="2">
        <f>IF(OR(L439="",H439=""),"",IF((L439="met")=(H439="met"),1,0))</f>
        <v/>
      </c>
      <c r="P439" s="2">
        <f>IF(OR(M439="",H439=""),"",IF((M439="met")=(H439="met"),1,0))</f>
        <v/>
      </c>
    </row>
    <row r="440">
      <c r="A440" s="2" t="inlineStr">
        <is>
          <t>C15-04</t>
        </is>
      </c>
      <c r="B440" s="2">
        <f>Key!B440</f>
        <v/>
      </c>
      <c r="C440" s="2">
        <f>Key!C440</f>
        <v/>
      </c>
      <c r="D440" s="2">
        <f>IF(Key!D440="","",Key!D440)</f>
        <v/>
      </c>
      <c r="E440" s="2">
        <f>IF(Label_ChatGPT!F323="","",Label_ChatGPT!F323)</f>
        <v/>
      </c>
      <c r="F440" s="2">
        <f>IF(Label_ChatGPT!G323="","",Label_ChatGPT!G323)</f>
        <v/>
      </c>
      <c r="G440" s="5" t="n"/>
      <c r="H440" s="2">
        <f>IF(G440&lt;&gt;"",G440,IF(AND(E440&lt;&gt;"",E440=F440,E440&lt;&gt;"unsure"),E440,""))</f>
        <v/>
      </c>
      <c r="I440" s="2">
        <f>IF(AND(OR(E440="met",E440="not_met"),OR(F440="met",F440="not_met")),1,0)</f>
        <v/>
      </c>
      <c r="J440" s="2">
        <f>IF(I440=1,IF(E440=F440,1,0),"")</f>
        <v/>
      </c>
      <c r="K440" s="2" t="n"/>
      <c r="L440" s="2" t="n"/>
      <c r="M440" s="2" t="n"/>
      <c r="N440" s="2">
        <f>IF(OR(K440="",H440=""),"",IF((K440="met")=(H440="met"),1,0))</f>
        <v/>
      </c>
      <c r="O440" s="2">
        <f>IF(OR(L440="",H440=""),"",IF((L440="met")=(H440="met"),1,0))</f>
        <v/>
      </c>
      <c r="P440" s="2">
        <f>IF(OR(M440="",H440=""),"",IF((M440="met")=(H440="met"),1,0))</f>
        <v/>
      </c>
    </row>
    <row r="441">
      <c r="A441" s="2" t="inlineStr">
        <is>
          <t>C15-05</t>
        </is>
      </c>
      <c r="B441" s="2">
        <f>Key!B441</f>
        <v/>
      </c>
      <c r="C441" s="2">
        <f>Key!C441</f>
        <v/>
      </c>
      <c r="D441" s="2">
        <f>IF(Key!D441="","",Key!D441)</f>
        <v/>
      </c>
      <c r="E441" s="2">
        <f>IF(Label_ChatGPT!F324="","",Label_ChatGPT!F324)</f>
        <v/>
      </c>
      <c r="F441" s="2">
        <f>IF(Label_ChatGPT!G324="","",Label_ChatGPT!G324)</f>
        <v/>
      </c>
      <c r="G441" s="5" t="n"/>
      <c r="H441" s="2">
        <f>IF(G441&lt;&gt;"",G441,IF(AND(E441&lt;&gt;"",E441=F441,E441&lt;&gt;"unsure"),E441,""))</f>
        <v/>
      </c>
      <c r="I441" s="2">
        <f>IF(AND(OR(E441="met",E441="not_met"),OR(F441="met",F441="not_met")),1,0)</f>
        <v/>
      </c>
      <c r="J441" s="2">
        <f>IF(I441=1,IF(E441=F441,1,0),"")</f>
        <v/>
      </c>
      <c r="K441" s="2" t="n"/>
      <c r="L441" s="2" t="n"/>
      <c r="M441" s="2" t="n"/>
      <c r="N441" s="2">
        <f>IF(OR(K441="",H441=""),"",IF((K441="met")=(H441="met"),1,0))</f>
        <v/>
      </c>
      <c r="O441" s="2">
        <f>IF(OR(L441="",H441=""),"",IF((L441="met")=(H441="met"),1,0))</f>
        <v/>
      </c>
      <c r="P441" s="2">
        <f>IF(OR(M441="",H441=""),"",IF((M441="met")=(H441="met"),1,0))</f>
        <v/>
      </c>
    </row>
    <row r="442">
      <c r="A442" s="2" t="inlineStr">
        <is>
          <t>C15-06</t>
        </is>
      </c>
      <c r="B442" s="2">
        <f>Key!B442</f>
        <v/>
      </c>
      <c r="C442" s="2">
        <f>Key!C442</f>
        <v/>
      </c>
      <c r="D442" s="2">
        <f>IF(Key!D442="","",Key!D442)</f>
        <v/>
      </c>
      <c r="E442" s="2">
        <f>IF(Label_ChatGPT!F325="","",Label_ChatGPT!F325)</f>
        <v/>
      </c>
      <c r="F442" s="2">
        <f>IF(Label_ChatGPT!G325="","",Label_ChatGPT!G325)</f>
        <v/>
      </c>
      <c r="G442" s="5" t="n"/>
      <c r="H442" s="2">
        <f>IF(G442&lt;&gt;"",G442,IF(AND(E442&lt;&gt;"",E442=F442,E442&lt;&gt;"unsure"),E442,""))</f>
        <v/>
      </c>
      <c r="I442" s="2">
        <f>IF(AND(OR(E442="met",E442="not_met"),OR(F442="met",F442="not_met")),1,0)</f>
        <v/>
      </c>
      <c r="J442" s="2">
        <f>IF(I442=1,IF(E442=F442,1,0),"")</f>
        <v/>
      </c>
      <c r="K442" s="2" t="n"/>
      <c r="L442" s="2" t="n"/>
      <c r="M442" s="2" t="n"/>
      <c r="N442" s="2">
        <f>IF(OR(K442="",H442=""),"",IF((K442="met")=(H442="met"),1,0))</f>
        <v/>
      </c>
      <c r="O442" s="2">
        <f>IF(OR(L442="",H442=""),"",IF((L442="met")=(H442="met"),1,0))</f>
        <v/>
      </c>
      <c r="P442" s="2">
        <f>IF(OR(M442="",H442=""),"",IF((M442="met")=(H442="met"),1,0))</f>
        <v/>
      </c>
    </row>
    <row r="443">
      <c r="A443" s="2" t="inlineStr">
        <is>
          <t>C15-07</t>
        </is>
      </c>
      <c r="B443" s="2">
        <f>Key!B443</f>
        <v/>
      </c>
      <c r="C443" s="2">
        <f>Key!C443</f>
        <v/>
      </c>
      <c r="D443" s="2">
        <f>IF(Key!D443="","",Key!D443)</f>
        <v/>
      </c>
      <c r="E443" s="2">
        <f>IF(Label_ChatGPT!F326="","",Label_ChatGPT!F326)</f>
        <v/>
      </c>
      <c r="F443" s="2">
        <f>IF(Label_ChatGPT!G326="","",Label_ChatGPT!G326)</f>
        <v/>
      </c>
      <c r="G443" s="5" t="n"/>
      <c r="H443" s="2">
        <f>IF(G443&lt;&gt;"",G443,IF(AND(E443&lt;&gt;"",E443=F443,E443&lt;&gt;"unsure"),E443,""))</f>
        <v/>
      </c>
      <c r="I443" s="2">
        <f>IF(AND(OR(E443="met",E443="not_met"),OR(F443="met",F443="not_met")),1,0)</f>
        <v/>
      </c>
      <c r="J443" s="2">
        <f>IF(I443=1,IF(E443=F443,1,0),"")</f>
        <v/>
      </c>
      <c r="K443" s="2" t="n"/>
      <c r="L443" s="2" t="n"/>
      <c r="M443" s="2" t="n"/>
      <c r="N443" s="2">
        <f>IF(OR(K443="",H443=""),"",IF((K443="met")=(H443="met"),1,0))</f>
        <v/>
      </c>
      <c r="O443" s="2">
        <f>IF(OR(L443="",H443=""),"",IF((L443="met")=(H443="met"),1,0))</f>
        <v/>
      </c>
      <c r="P443" s="2">
        <f>IF(OR(M443="",H443=""),"",IF((M443="met")=(H443="met"),1,0))</f>
        <v/>
      </c>
    </row>
    <row r="444">
      <c r="A444" s="2" t="inlineStr">
        <is>
          <t>C15-08</t>
        </is>
      </c>
      <c r="B444" s="2">
        <f>Key!B444</f>
        <v/>
      </c>
      <c r="C444" s="2">
        <f>Key!C444</f>
        <v/>
      </c>
      <c r="D444" s="2">
        <f>IF(Key!D444="","",Key!D444)</f>
        <v/>
      </c>
      <c r="E444" s="2">
        <f>IF(Label_ChatGPT!F327="","",Label_ChatGPT!F327)</f>
        <v/>
      </c>
      <c r="F444" s="2">
        <f>IF(Label_ChatGPT!G327="","",Label_ChatGPT!G327)</f>
        <v/>
      </c>
      <c r="G444" s="5" t="n"/>
      <c r="H444" s="2">
        <f>IF(G444&lt;&gt;"",G444,IF(AND(E444&lt;&gt;"",E444=F444,E444&lt;&gt;"unsure"),E444,""))</f>
        <v/>
      </c>
      <c r="I444" s="2">
        <f>IF(AND(OR(E444="met",E444="not_met"),OR(F444="met",F444="not_met")),1,0)</f>
        <v/>
      </c>
      <c r="J444" s="2">
        <f>IF(I444=1,IF(E444=F444,1,0),"")</f>
        <v/>
      </c>
      <c r="K444" s="2" t="n"/>
      <c r="L444" s="2" t="n"/>
      <c r="M444" s="2" t="n"/>
      <c r="N444" s="2">
        <f>IF(OR(K444="",H444=""),"",IF((K444="met")=(H444="met"),1,0))</f>
        <v/>
      </c>
      <c r="O444" s="2">
        <f>IF(OR(L444="",H444=""),"",IF((L444="met")=(H444="met"),1,0))</f>
        <v/>
      </c>
      <c r="P444" s="2">
        <f>IF(OR(M444="",H444=""),"",IF((M444="met")=(H444="met"),1,0))</f>
        <v/>
      </c>
    </row>
    <row r="445">
      <c r="A445" s="2" t="inlineStr">
        <is>
          <t>C15-09</t>
        </is>
      </c>
      <c r="B445" s="2">
        <f>Key!B445</f>
        <v/>
      </c>
      <c r="C445" s="2">
        <f>Key!C445</f>
        <v/>
      </c>
      <c r="D445" s="2">
        <f>IF(Key!D445="","",Key!D445)</f>
        <v/>
      </c>
      <c r="E445" s="2">
        <f>IF(Label_ChatGPT!F328="","",Label_ChatGPT!F328)</f>
        <v/>
      </c>
      <c r="F445" s="2">
        <f>IF(Label_ChatGPT!G328="","",Label_ChatGPT!G328)</f>
        <v/>
      </c>
      <c r="G445" s="5" t="n"/>
      <c r="H445" s="2">
        <f>IF(G445&lt;&gt;"",G445,IF(AND(E445&lt;&gt;"",E445=F445,E445&lt;&gt;"unsure"),E445,""))</f>
        <v/>
      </c>
      <c r="I445" s="2">
        <f>IF(AND(OR(E445="met",E445="not_met"),OR(F445="met",F445="not_met")),1,0)</f>
        <v/>
      </c>
      <c r="J445" s="2">
        <f>IF(I445=1,IF(E445=F445,1,0),"")</f>
        <v/>
      </c>
      <c r="K445" s="2" t="n"/>
      <c r="L445" s="2" t="n"/>
      <c r="M445" s="2" t="n"/>
      <c r="N445" s="2">
        <f>IF(OR(K445="",H445=""),"",IF((K445="met")=(H445="met"),1,0))</f>
        <v/>
      </c>
      <c r="O445" s="2">
        <f>IF(OR(L445="",H445=""),"",IF((L445="met")=(H445="met"),1,0))</f>
        <v/>
      </c>
      <c r="P445" s="2">
        <f>IF(OR(M445="",H445=""),"",IF((M445="met")=(H445="met"),1,0))</f>
        <v/>
      </c>
    </row>
    <row r="446">
      <c r="A446" s="2" t="inlineStr">
        <is>
          <t>C15-10</t>
        </is>
      </c>
      <c r="B446" s="2">
        <f>Key!B446</f>
        <v/>
      </c>
      <c r="C446" s="2">
        <f>Key!C446</f>
        <v/>
      </c>
      <c r="D446" s="2">
        <f>IF(Key!D446="","",Key!D446)</f>
        <v/>
      </c>
      <c r="E446" s="2">
        <f>IF(Label_ChatGPT!F329="","",Label_ChatGPT!F329)</f>
        <v/>
      </c>
      <c r="F446" s="2">
        <f>IF(Label_ChatGPT!G329="","",Label_ChatGPT!G329)</f>
        <v/>
      </c>
      <c r="G446" s="5" t="n"/>
      <c r="H446" s="2">
        <f>IF(G446&lt;&gt;"",G446,IF(AND(E446&lt;&gt;"",E446=F446,E446&lt;&gt;"unsure"),E446,""))</f>
        <v/>
      </c>
      <c r="I446" s="2">
        <f>IF(AND(OR(E446="met",E446="not_met"),OR(F446="met",F446="not_met")),1,0)</f>
        <v/>
      </c>
      <c r="J446" s="2">
        <f>IF(I446=1,IF(E446=F446,1,0),"")</f>
        <v/>
      </c>
      <c r="K446" s="2" t="n"/>
      <c r="L446" s="2" t="n"/>
      <c r="M446" s="2" t="n"/>
      <c r="N446" s="2">
        <f>IF(OR(K446="",H446=""),"",IF((K446="met")=(H446="met"),1,0))</f>
        <v/>
      </c>
      <c r="O446" s="2">
        <f>IF(OR(L446="",H446=""),"",IF((L446="met")=(H446="met"),1,0))</f>
        <v/>
      </c>
      <c r="P446" s="2">
        <f>IF(OR(M446="",H446=""),"",IF((M446="met")=(H446="met"),1,0))</f>
        <v/>
      </c>
    </row>
    <row r="447">
      <c r="A447" s="2" t="inlineStr">
        <is>
          <t>C15-11</t>
        </is>
      </c>
      <c r="B447" s="2">
        <f>Key!B447</f>
        <v/>
      </c>
      <c r="C447" s="2">
        <f>Key!C447</f>
        <v/>
      </c>
      <c r="D447" s="2">
        <f>IF(Key!D447="","",Key!D447)</f>
        <v/>
      </c>
      <c r="E447" s="2">
        <f>IF(Label_ChatGPT!F330="","",Label_ChatGPT!F330)</f>
        <v/>
      </c>
      <c r="F447" s="2">
        <f>IF(Label_ChatGPT!G330="","",Label_ChatGPT!G330)</f>
        <v/>
      </c>
      <c r="G447" s="5" t="n"/>
      <c r="H447" s="2">
        <f>IF(G447&lt;&gt;"",G447,IF(AND(E447&lt;&gt;"",E447=F447,E447&lt;&gt;"unsure"),E447,""))</f>
        <v/>
      </c>
      <c r="I447" s="2">
        <f>IF(AND(OR(E447="met",E447="not_met"),OR(F447="met",F447="not_met")),1,0)</f>
        <v/>
      </c>
      <c r="J447" s="2">
        <f>IF(I447=1,IF(E447=F447,1,0),"")</f>
        <v/>
      </c>
      <c r="K447" s="2" t="n"/>
      <c r="L447" s="2" t="n"/>
      <c r="M447" s="2" t="n"/>
      <c r="N447" s="2">
        <f>IF(OR(K447="",H447=""),"",IF((K447="met")=(H447="met"),1,0))</f>
        <v/>
      </c>
      <c r="O447" s="2">
        <f>IF(OR(L447="",H447=""),"",IF((L447="met")=(H447="met"),1,0))</f>
        <v/>
      </c>
      <c r="P447" s="2">
        <f>IF(OR(M447="",H447=""),"",IF((M447="met")=(H447="met"),1,0))</f>
        <v/>
      </c>
    </row>
    <row r="448">
      <c r="A448" s="2" t="inlineStr">
        <is>
          <t>C15-12</t>
        </is>
      </c>
      <c r="B448" s="2">
        <f>Key!B448</f>
        <v/>
      </c>
      <c r="C448" s="2">
        <f>Key!C448</f>
        <v/>
      </c>
      <c r="D448" s="2">
        <f>IF(Key!D448="","",Key!D448)</f>
        <v/>
      </c>
      <c r="E448" s="2">
        <f>IF(Label_ChatGPT!F331="","",Label_ChatGPT!F331)</f>
        <v/>
      </c>
      <c r="F448" s="2">
        <f>IF(Label_ChatGPT!G331="","",Label_ChatGPT!G331)</f>
        <v/>
      </c>
      <c r="G448" s="5" t="n"/>
      <c r="H448" s="2">
        <f>IF(G448&lt;&gt;"",G448,IF(AND(E448&lt;&gt;"",E448=F448,E448&lt;&gt;"unsure"),E448,""))</f>
        <v/>
      </c>
      <c r="I448" s="2">
        <f>IF(AND(OR(E448="met",E448="not_met"),OR(F448="met",F448="not_met")),1,0)</f>
        <v/>
      </c>
      <c r="J448" s="2">
        <f>IF(I448=1,IF(E448=F448,1,0),"")</f>
        <v/>
      </c>
      <c r="K448" s="2" t="n"/>
      <c r="L448" s="2" t="n"/>
      <c r="M448" s="2" t="n"/>
      <c r="N448" s="2">
        <f>IF(OR(K448="",H448=""),"",IF((K448="met")=(H448="met"),1,0))</f>
        <v/>
      </c>
      <c r="O448" s="2">
        <f>IF(OR(L448="",H448=""),"",IF((L448="met")=(H448="met"),1,0))</f>
        <v/>
      </c>
      <c r="P448" s="2">
        <f>IF(OR(M448="",H448=""),"",IF((M448="met")=(H448="met"),1,0))</f>
        <v/>
      </c>
    </row>
    <row r="449">
      <c r="A449" s="2" t="inlineStr">
        <is>
          <t>C15-13</t>
        </is>
      </c>
      <c r="B449" s="2">
        <f>Key!B449</f>
        <v/>
      </c>
      <c r="C449" s="2">
        <f>Key!C449</f>
        <v/>
      </c>
      <c r="D449" s="2">
        <f>IF(Key!D449="","",Key!D449)</f>
        <v/>
      </c>
      <c r="E449" s="2">
        <f>IF(Label_ChatGPT!F332="","",Label_ChatGPT!F332)</f>
        <v/>
      </c>
      <c r="F449" s="2">
        <f>IF(Label_ChatGPT!G332="","",Label_ChatGPT!G332)</f>
        <v/>
      </c>
      <c r="G449" s="5" t="n"/>
      <c r="H449" s="2">
        <f>IF(G449&lt;&gt;"",G449,IF(AND(E449&lt;&gt;"",E449=F449,E449&lt;&gt;"unsure"),E449,""))</f>
        <v/>
      </c>
      <c r="I449" s="2">
        <f>IF(AND(OR(E449="met",E449="not_met"),OR(F449="met",F449="not_met")),1,0)</f>
        <v/>
      </c>
      <c r="J449" s="2">
        <f>IF(I449=1,IF(E449=F449,1,0),"")</f>
        <v/>
      </c>
      <c r="K449" s="2" t="n"/>
      <c r="L449" s="2" t="n"/>
      <c r="M449" s="2" t="n"/>
      <c r="N449" s="2">
        <f>IF(OR(K449="",H449=""),"",IF((K449="met")=(H449="met"),1,0))</f>
        <v/>
      </c>
      <c r="O449" s="2">
        <f>IF(OR(L449="",H449=""),"",IF((L449="met")=(H449="met"),1,0))</f>
        <v/>
      </c>
      <c r="P449" s="2">
        <f>IF(OR(M449="",H449=""),"",IF((M449="met")=(H449="met"),1,0))</f>
        <v/>
      </c>
    </row>
    <row r="450">
      <c r="A450" s="2" t="inlineStr">
        <is>
          <t>C15-14</t>
        </is>
      </c>
      <c r="B450" s="2">
        <f>Key!B450</f>
        <v/>
      </c>
      <c r="C450" s="2">
        <f>Key!C450</f>
        <v/>
      </c>
      <c r="D450" s="2">
        <f>IF(Key!D450="","",Key!D450)</f>
        <v/>
      </c>
      <c r="E450" s="2">
        <f>IF(Label_ChatGPT!F333="","",Label_ChatGPT!F333)</f>
        <v/>
      </c>
      <c r="F450" s="2">
        <f>IF(Label_ChatGPT!G333="","",Label_ChatGPT!G333)</f>
        <v/>
      </c>
      <c r="G450" s="5" t="n"/>
      <c r="H450" s="2">
        <f>IF(G450&lt;&gt;"",G450,IF(AND(E450&lt;&gt;"",E450=F450,E450&lt;&gt;"unsure"),E450,""))</f>
        <v/>
      </c>
      <c r="I450" s="2">
        <f>IF(AND(OR(E450="met",E450="not_met"),OR(F450="met",F450="not_met")),1,0)</f>
        <v/>
      </c>
      <c r="J450" s="2">
        <f>IF(I450=1,IF(E450=F450,1,0),"")</f>
        <v/>
      </c>
      <c r="K450" s="2" t="n"/>
      <c r="L450" s="2" t="n"/>
      <c r="M450" s="2" t="n"/>
      <c r="N450" s="2">
        <f>IF(OR(K450="",H450=""),"",IF((K450="met")=(H450="met"),1,0))</f>
        <v/>
      </c>
      <c r="O450" s="2">
        <f>IF(OR(L450="",H450=""),"",IF((L450="met")=(H450="met"),1,0))</f>
        <v/>
      </c>
      <c r="P450" s="2">
        <f>IF(OR(M450="",H450=""),"",IF((M450="met")=(H450="met"),1,0))</f>
        <v/>
      </c>
    </row>
    <row r="451">
      <c r="A451" s="2" t="inlineStr">
        <is>
          <t>C15-15</t>
        </is>
      </c>
      <c r="B451" s="2">
        <f>Key!B451</f>
        <v/>
      </c>
      <c r="C451" s="2">
        <f>Key!C451</f>
        <v/>
      </c>
      <c r="D451" s="2">
        <f>IF(Key!D451="","",Key!D451)</f>
        <v/>
      </c>
      <c r="E451" s="2">
        <f>IF(Label_ChatGPT!F334="","",Label_ChatGPT!F334)</f>
        <v/>
      </c>
      <c r="F451" s="2">
        <f>IF(Label_ChatGPT!G334="","",Label_ChatGPT!G334)</f>
        <v/>
      </c>
      <c r="G451" s="5" t="n"/>
      <c r="H451" s="2">
        <f>IF(G451&lt;&gt;"",G451,IF(AND(E451&lt;&gt;"",E451=F451,E451&lt;&gt;"unsure"),E451,""))</f>
        <v/>
      </c>
      <c r="I451" s="2">
        <f>IF(AND(OR(E451="met",E451="not_met"),OR(F451="met",F451="not_met")),1,0)</f>
        <v/>
      </c>
      <c r="J451" s="2">
        <f>IF(I451=1,IF(E451=F451,1,0),"")</f>
        <v/>
      </c>
      <c r="K451" s="2" t="n"/>
      <c r="L451" s="2" t="n"/>
      <c r="M451" s="2" t="n"/>
      <c r="N451" s="2">
        <f>IF(OR(K451="",H451=""),"",IF((K451="met")=(H451="met"),1,0))</f>
        <v/>
      </c>
      <c r="O451" s="2">
        <f>IF(OR(L451="",H451=""),"",IF((L451="met")=(H451="met"),1,0))</f>
        <v/>
      </c>
      <c r="P451" s="2">
        <f>IF(OR(M451="",H451=""),"",IF((M451="met")=(H451="met"),1,0))</f>
        <v/>
      </c>
    </row>
    <row r="452">
      <c r="A452" s="2" t="inlineStr">
        <is>
          <t>C15-16</t>
        </is>
      </c>
      <c r="B452" s="2">
        <f>Key!B452</f>
        <v/>
      </c>
      <c r="C452" s="2">
        <f>Key!C452</f>
        <v/>
      </c>
      <c r="D452" s="2">
        <f>IF(Key!D452="","",Key!D452)</f>
        <v/>
      </c>
      <c r="E452" s="2">
        <f>IF(Label_ChatGPT!F335="","",Label_ChatGPT!F335)</f>
        <v/>
      </c>
      <c r="F452" s="2">
        <f>IF(Label_ChatGPT!G335="","",Label_ChatGPT!G335)</f>
        <v/>
      </c>
      <c r="G452" s="5" t="n"/>
      <c r="H452" s="2">
        <f>IF(G452&lt;&gt;"",G452,IF(AND(E452&lt;&gt;"",E452=F452,E452&lt;&gt;"unsure"),E452,""))</f>
        <v/>
      </c>
      <c r="I452" s="2">
        <f>IF(AND(OR(E452="met",E452="not_met"),OR(F452="met",F452="not_met")),1,0)</f>
        <v/>
      </c>
      <c r="J452" s="2">
        <f>IF(I452=1,IF(E452=F452,1,0),"")</f>
        <v/>
      </c>
      <c r="K452" s="2" t="n"/>
      <c r="L452" s="2" t="n"/>
      <c r="M452" s="2" t="n"/>
      <c r="N452" s="2">
        <f>IF(OR(K452="",H452=""),"",IF((K452="met")=(H452="met"),1,0))</f>
        <v/>
      </c>
      <c r="O452" s="2">
        <f>IF(OR(L452="",H452=""),"",IF((L452="met")=(H452="met"),1,0))</f>
        <v/>
      </c>
      <c r="P452" s="2">
        <f>IF(OR(M452="",H452=""),"",IF((M452="met")=(H452="met"),1,0))</f>
        <v/>
      </c>
    </row>
    <row r="453">
      <c r="A453" s="2" t="inlineStr">
        <is>
          <t>C15-17</t>
        </is>
      </c>
      <c r="B453" s="2">
        <f>Key!B453</f>
        <v/>
      </c>
      <c r="C453" s="2">
        <f>Key!C453</f>
        <v/>
      </c>
      <c r="D453" s="2">
        <f>IF(Key!D453="","",Key!D453)</f>
        <v/>
      </c>
      <c r="E453" s="2">
        <f>IF(Label_ChatGPT!F336="","",Label_ChatGPT!F336)</f>
        <v/>
      </c>
      <c r="F453" s="2">
        <f>IF(Label_ChatGPT!G336="","",Label_ChatGPT!G336)</f>
        <v/>
      </c>
      <c r="G453" s="5" t="n"/>
      <c r="H453" s="2">
        <f>IF(G453&lt;&gt;"",G453,IF(AND(E453&lt;&gt;"",E453=F453,E453&lt;&gt;"unsure"),E453,""))</f>
        <v/>
      </c>
      <c r="I453" s="2">
        <f>IF(AND(OR(E453="met",E453="not_met"),OR(F453="met",F453="not_met")),1,0)</f>
        <v/>
      </c>
      <c r="J453" s="2">
        <f>IF(I453=1,IF(E453=F453,1,0),"")</f>
        <v/>
      </c>
      <c r="K453" s="2" t="n"/>
      <c r="L453" s="2" t="n"/>
      <c r="M453" s="2" t="n"/>
      <c r="N453" s="2">
        <f>IF(OR(K453="",H453=""),"",IF((K453="met")=(H453="met"),1,0))</f>
        <v/>
      </c>
      <c r="O453" s="2">
        <f>IF(OR(L453="",H453=""),"",IF((L453="met")=(H453="met"),1,0))</f>
        <v/>
      </c>
      <c r="P453" s="2">
        <f>IF(OR(M453="",H453=""),"",IF((M453="met")=(H453="met"),1,0))</f>
        <v/>
      </c>
    </row>
    <row r="454">
      <c r="A454" s="2" t="inlineStr">
        <is>
          <t>C15-18</t>
        </is>
      </c>
      <c r="B454" s="2">
        <f>Key!B454</f>
        <v/>
      </c>
      <c r="C454" s="2">
        <f>Key!C454</f>
        <v/>
      </c>
      <c r="D454" s="2">
        <f>IF(Key!D454="","",Key!D454)</f>
        <v/>
      </c>
      <c r="E454" s="2">
        <f>IF(Label_ChatGPT!F337="","",Label_ChatGPT!F337)</f>
        <v/>
      </c>
      <c r="F454" s="2">
        <f>IF(Label_ChatGPT!G337="","",Label_ChatGPT!G337)</f>
        <v/>
      </c>
      <c r="G454" s="5" t="n"/>
      <c r="H454" s="2">
        <f>IF(G454&lt;&gt;"",G454,IF(AND(E454&lt;&gt;"",E454=F454,E454&lt;&gt;"unsure"),E454,""))</f>
        <v/>
      </c>
      <c r="I454" s="2">
        <f>IF(AND(OR(E454="met",E454="not_met"),OR(F454="met",F454="not_met")),1,0)</f>
        <v/>
      </c>
      <c r="J454" s="2">
        <f>IF(I454=1,IF(E454=F454,1,0),"")</f>
        <v/>
      </c>
      <c r="K454" s="2" t="n"/>
      <c r="L454" s="2" t="n"/>
      <c r="M454" s="2" t="n"/>
      <c r="N454" s="2">
        <f>IF(OR(K454="",H454=""),"",IF((K454="met")=(H454="met"),1,0))</f>
        <v/>
      </c>
      <c r="O454" s="2">
        <f>IF(OR(L454="",H454=""),"",IF((L454="met")=(H454="met"),1,0))</f>
        <v/>
      </c>
      <c r="P454" s="2">
        <f>IF(OR(M454="",H454=""),"",IF((M454="met")=(H454="met"),1,0))</f>
        <v/>
      </c>
    </row>
    <row r="455">
      <c r="A455" s="2" t="inlineStr">
        <is>
          <t>C15-19</t>
        </is>
      </c>
      <c r="B455" s="2">
        <f>Key!B455</f>
        <v/>
      </c>
      <c r="C455" s="2">
        <f>Key!C455</f>
        <v/>
      </c>
      <c r="D455" s="2">
        <f>IF(Key!D455="","",Key!D455)</f>
        <v/>
      </c>
      <c r="E455" s="2">
        <f>IF(Label_ChatGPT!F338="","",Label_ChatGPT!F338)</f>
        <v/>
      </c>
      <c r="F455" s="2">
        <f>IF(Label_ChatGPT!G338="","",Label_ChatGPT!G338)</f>
        <v/>
      </c>
      <c r="G455" s="5" t="n"/>
      <c r="H455" s="2">
        <f>IF(G455&lt;&gt;"",G455,IF(AND(E455&lt;&gt;"",E455=F455,E455&lt;&gt;"unsure"),E455,""))</f>
        <v/>
      </c>
      <c r="I455" s="2">
        <f>IF(AND(OR(E455="met",E455="not_met"),OR(F455="met",F455="not_met")),1,0)</f>
        <v/>
      </c>
      <c r="J455" s="2">
        <f>IF(I455=1,IF(E455=F455,1,0),"")</f>
        <v/>
      </c>
      <c r="K455" s="2" t="n"/>
      <c r="L455" s="2" t="n"/>
      <c r="M455" s="2" t="n"/>
      <c r="N455" s="2">
        <f>IF(OR(K455="",H455=""),"",IF((K455="met")=(H455="met"),1,0))</f>
        <v/>
      </c>
      <c r="O455" s="2">
        <f>IF(OR(L455="",H455=""),"",IF((L455="met")=(H455="met"),1,0))</f>
        <v/>
      </c>
      <c r="P455" s="2">
        <f>IF(OR(M455="",H455=""),"",IF((M455="met")=(H455="met"),1,0))</f>
        <v/>
      </c>
    </row>
    <row r="456">
      <c r="A456" s="2" t="inlineStr">
        <is>
          <t>C15-20</t>
        </is>
      </c>
      <c r="B456" s="2">
        <f>Key!B456</f>
        <v/>
      </c>
      <c r="C456" s="2">
        <f>Key!C456</f>
        <v/>
      </c>
      <c r="D456" s="2">
        <f>IF(Key!D456="","",Key!D456)</f>
        <v/>
      </c>
      <c r="E456" s="2">
        <f>IF(Label_ChatGPT!F339="","",Label_ChatGPT!F339)</f>
        <v/>
      </c>
      <c r="F456" s="2">
        <f>IF(Label_ChatGPT!G339="","",Label_ChatGPT!G339)</f>
        <v/>
      </c>
      <c r="G456" s="5" t="n"/>
      <c r="H456" s="2">
        <f>IF(G456&lt;&gt;"",G456,IF(AND(E456&lt;&gt;"",E456=F456,E456&lt;&gt;"unsure"),E456,""))</f>
        <v/>
      </c>
      <c r="I456" s="2">
        <f>IF(AND(OR(E456="met",E456="not_met"),OR(F456="met",F456="not_met")),1,0)</f>
        <v/>
      </c>
      <c r="J456" s="2">
        <f>IF(I456=1,IF(E456=F456,1,0),"")</f>
        <v/>
      </c>
      <c r="K456" s="2" t="n"/>
      <c r="L456" s="2" t="n"/>
      <c r="M456" s="2" t="n"/>
      <c r="N456" s="2">
        <f>IF(OR(K456="",H456=""),"",IF((K456="met")=(H456="met"),1,0))</f>
        <v/>
      </c>
      <c r="O456" s="2">
        <f>IF(OR(L456="",H456=""),"",IF((L456="met")=(H456="met"),1,0))</f>
        <v/>
      </c>
      <c r="P456" s="2">
        <f>IF(OR(M456="",H456=""),"",IF((M456="met")=(H456="met"),1,0))</f>
        <v/>
      </c>
    </row>
    <row r="457">
      <c r="A457" s="2" t="inlineStr">
        <is>
          <t>C15-21</t>
        </is>
      </c>
      <c r="B457" s="2">
        <f>Key!B457</f>
        <v/>
      </c>
      <c r="C457" s="2">
        <f>Key!C457</f>
        <v/>
      </c>
      <c r="D457" s="2">
        <f>IF(Key!D457="","",Key!D457)</f>
        <v/>
      </c>
      <c r="E457" s="2">
        <f>IF(Label_ChatGPT!F340="","",Label_ChatGPT!F340)</f>
        <v/>
      </c>
      <c r="F457" s="2">
        <f>IF(Label_ChatGPT!G340="","",Label_ChatGPT!G340)</f>
        <v/>
      </c>
      <c r="G457" s="5" t="n"/>
      <c r="H457" s="2">
        <f>IF(G457&lt;&gt;"",G457,IF(AND(E457&lt;&gt;"",E457=F457,E457&lt;&gt;"unsure"),E457,""))</f>
        <v/>
      </c>
      <c r="I457" s="2">
        <f>IF(AND(OR(E457="met",E457="not_met"),OR(F457="met",F457="not_met")),1,0)</f>
        <v/>
      </c>
      <c r="J457" s="2">
        <f>IF(I457=1,IF(E457=F457,1,0),"")</f>
        <v/>
      </c>
      <c r="K457" s="2" t="n"/>
      <c r="L457" s="2" t="n"/>
      <c r="M457" s="2" t="n"/>
      <c r="N457" s="2">
        <f>IF(OR(K457="",H457=""),"",IF((K457="met")=(H457="met"),1,0))</f>
        <v/>
      </c>
      <c r="O457" s="2">
        <f>IF(OR(L457="",H457=""),"",IF((L457="met")=(H457="met"),1,0))</f>
        <v/>
      </c>
      <c r="P457" s="2">
        <f>IF(OR(M457="",H457=""),"",IF((M457="met")=(H457="met"),1,0))</f>
        <v/>
      </c>
    </row>
    <row r="458">
      <c r="A458" s="2" t="inlineStr">
        <is>
          <t>C15-22</t>
        </is>
      </c>
      <c r="B458" s="2">
        <f>Key!B458</f>
        <v/>
      </c>
      <c r="C458" s="2">
        <f>Key!C458</f>
        <v/>
      </c>
      <c r="D458" s="2">
        <f>IF(Key!D458="","",Key!D458)</f>
        <v/>
      </c>
      <c r="E458" s="2">
        <f>IF(Label_ChatGPT!F341="","",Label_ChatGPT!F341)</f>
        <v/>
      </c>
      <c r="F458" s="2">
        <f>IF(Label_ChatGPT!G341="","",Label_ChatGPT!G341)</f>
        <v/>
      </c>
      <c r="G458" s="5" t="n"/>
      <c r="H458" s="2">
        <f>IF(G458&lt;&gt;"",G458,IF(AND(E458&lt;&gt;"",E458=F458,E458&lt;&gt;"unsure"),E458,""))</f>
        <v/>
      </c>
      <c r="I458" s="2">
        <f>IF(AND(OR(E458="met",E458="not_met"),OR(F458="met",F458="not_met")),1,0)</f>
        <v/>
      </c>
      <c r="J458" s="2">
        <f>IF(I458=1,IF(E458=F458,1,0),"")</f>
        <v/>
      </c>
      <c r="K458" s="2" t="n"/>
      <c r="L458" s="2" t="n"/>
      <c r="M458" s="2" t="n"/>
      <c r="N458" s="2">
        <f>IF(OR(K458="",H458=""),"",IF((K458="met")=(H458="met"),1,0))</f>
        <v/>
      </c>
      <c r="O458" s="2">
        <f>IF(OR(L458="",H458=""),"",IF((L458="met")=(H458="met"),1,0))</f>
        <v/>
      </c>
      <c r="P458" s="2">
        <f>IF(OR(M458="",H458=""),"",IF((M458="met")=(H458="met"),1,0))</f>
        <v/>
      </c>
    </row>
    <row r="459">
      <c r="A459" s="2" t="inlineStr">
        <is>
          <t>C15-23</t>
        </is>
      </c>
      <c r="B459" s="2">
        <f>Key!B459</f>
        <v/>
      </c>
      <c r="C459" s="2">
        <f>Key!C459</f>
        <v/>
      </c>
      <c r="D459" s="2">
        <f>IF(Key!D459="","",Key!D459)</f>
        <v/>
      </c>
      <c r="E459" s="2">
        <f>IF(Label_ChatGPT!F342="","",Label_ChatGPT!F342)</f>
        <v/>
      </c>
      <c r="F459" s="2">
        <f>IF(Label_ChatGPT!G342="","",Label_ChatGPT!G342)</f>
        <v/>
      </c>
      <c r="G459" s="5" t="n"/>
      <c r="H459" s="2">
        <f>IF(G459&lt;&gt;"",G459,IF(AND(E459&lt;&gt;"",E459=F459,E459&lt;&gt;"unsure"),E459,""))</f>
        <v/>
      </c>
      <c r="I459" s="2">
        <f>IF(AND(OR(E459="met",E459="not_met"),OR(F459="met",F459="not_met")),1,0)</f>
        <v/>
      </c>
      <c r="J459" s="2">
        <f>IF(I459=1,IF(E459=F459,1,0),"")</f>
        <v/>
      </c>
      <c r="K459" s="2" t="n"/>
      <c r="L459" s="2" t="n"/>
      <c r="M459" s="2" t="n"/>
      <c r="N459" s="2">
        <f>IF(OR(K459="",H459=""),"",IF((K459="met")=(H459="met"),1,0))</f>
        <v/>
      </c>
      <c r="O459" s="2">
        <f>IF(OR(L459="",H459=""),"",IF((L459="met")=(H459="met"),1,0))</f>
        <v/>
      </c>
      <c r="P459" s="2">
        <f>IF(OR(M459="",H459=""),"",IF((M459="met")=(H459="met"),1,0))</f>
        <v/>
      </c>
    </row>
    <row r="460">
      <c r="A460" s="2" t="inlineStr">
        <is>
          <t>C15-24</t>
        </is>
      </c>
      <c r="B460" s="2">
        <f>Key!B460</f>
        <v/>
      </c>
      <c r="C460" s="2">
        <f>Key!C460</f>
        <v/>
      </c>
      <c r="D460" s="2">
        <f>IF(Key!D460="","",Key!D460)</f>
        <v/>
      </c>
      <c r="E460" s="2">
        <f>IF(Label_ChatGPT!F343="","",Label_ChatGPT!F343)</f>
        <v/>
      </c>
      <c r="F460" s="2">
        <f>IF(Label_ChatGPT!G343="","",Label_ChatGPT!G343)</f>
        <v/>
      </c>
      <c r="G460" s="5" t="n"/>
      <c r="H460" s="2">
        <f>IF(G460&lt;&gt;"",G460,IF(AND(E460&lt;&gt;"",E460=F460,E460&lt;&gt;"unsure"),E460,""))</f>
        <v/>
      </c>
      <c r="I460" s="2">
        <f>IF(AND(OR(E460="met",E460="not_met"),OR(F460="met",F460="not_met")),1,0)</f>
        <v/>
      </c>
      <c r="J460" s="2">
        <f>IF(I460=1,IF(E460=F460,1,0),"")</f>
        <v/>
      </c>
      <c r="K460" s="2" t="n"/>
      <c r="L460" s="2" t="n"/>
      <c r="M460" s="2" t="n"/>
      <c r="N460" s="2">
        <f>IF(OR(K460="",H460=""),"",IF((K460="met")=(H460="met"),1,0))</f>
        <v/>
      </c>
      <c r="O460" s="2">
        <f>IF(OR(L460="",H460=""),"",IF((L460="met")=(H460="met"),1,0))</f>
        <v/>
      </c>
      <c r="P460" s="2">
        <f>IF(OR(M460="",H460=""),"",IF((M460="met")=(H460="met"),1,0))</f>
        <v/>
      </c>
    </row>
    <row r="461">
      <c r="A461" s="2" t="inlineStr">
        <is>
          <t>C15-25</t>
        </is>
      </c>
      <c r="B461" s="2">
        <f>Key!B461</f>
        <v/>
      </c>
      <c r="C461" s="2">
        <f>Key!C461</f>
        <v/>
      </c>
      <c r="D461" s="2">
        <f>IF(Key!D461="","",Key!D461)</f>
        <v/>
      </c>
      <c r="E461" s="2">
        <f>IF(Label_ChatGPT!F344="","",Label_ChatGPT!F344)</f>
        <v/>
      </c>
      <c r="F461" s="2">
        <f>IF(Label_ChatGPT!G344="","",Label_ChatGPT!G344)</f>
        <v/>
      </c>
      <c r="G461" s="5" t="n"/>
      <c r="H461" s="2">
        <f>IF(G461&lt;&gt;"",G461,IF(AND(E461&lt;&gt;"",E461=F461,E461&lt;&gt;"unsure"),E461,""))</f>
        <v/>
      </c>
      <c r="I461" s="2">
        <f>IF(AND(OR(E461="met",E461="not_met"),OR(F461="met",F461="not_met")),1,0)</f>
        <v/>
      </c>
      <c r="J461" s="2">
        <f>IF(I461=1,IF(E461=F461,1,0),"")</f>
        <v/>
      </c>
      <c r="K461" s="2" t="n"/>
      <c r="L461" s="2" t="n"/>
      <c r="M461" s="2" t="n"/>
      <c r="N461" s="2">
        <f>IF(OR(K461="",H461=""),"",IF((K461="met")=(H461="met"),1,0))</f>
        <v/>
      </c>
      <c r="O461" s="2">
        <f>IF(OR(L461="",H461=""),"",IF((L461="met")=(H461="met"),1,0))</f>
        <v/>
      </c>
      <c r="P461" s="2">
        <f>IF(OR(M461="",H461=""),"",IF((M461="met")=(H461="met"),1,0))</f>
        <v/>
      </c>
    </row>
    <row r="462">
      <c r="A462" s="2" t="inlineStr">
        <is>
          <t>C15-26</t>
        </is>
      </c>
      <c r="B462" s="2">
        <f>Key!B462</f>
        <v/>
      </c>
      <c r="C462" s="2">
        <f>Key!C462</f>
        <v/>
      </c>
      <c r="D462" s="2">
        <f>IF(Key!D462="","",Key!D462)</f>
        <v/>
      </c>
      <c r="E462" s="2">
        <f>IF(Label_ChatGPT!F345="","",Label_ChatGPT!F345)</f>
        <v/>
      </c>
      <c r="F462" s="2">
        <f>IF(Label_ChatGPT!G345="","",Label_ChatGPT!G345)</f>
        <v/>
      </c>
      <c r="G462" s="5" t="n"/>
      <c r="H462" s="2">
        <f>IF(G462&lt;&gt;"",G462,IF(AND(E462&lt;&gt;"",E462=F462,E462&lt;&gt;"unsure"),E462,""))</f>
        <v/>
      </c>
      <c r="I462" s="2">
        <f>IF(AND(OR(E462="met",E462="not_met"),OR(F462="met",F462="not_met")),1,0)</f>
        <v/>
      </c>
      <c r="J462" s="2">
        <f>IF(I462=1,IF(E462=F462,1,0),"")</f>
        <v/>
      </c>
      <c r="K462" s="2" t="n"/>
      <c r="L462" s="2" t="n"/>
      <c r="M462" s="2" t="n"/>
      <c r="N462" s="2">
        <f>IF(OR(K462="",H462=""),"",IF((K462="met")=(H462="met"),1,0))</f>
        <v/>
      </c>
      <c r="O462" s="2">
        <f>IF(OR(L462="",H462=""),"",IF((L462="met")=(H462="met"),1,0))</f>
        <v/>
      </c>
      <c r="P462" s="2">
        <f>IF(OR(M462="",H462=""),"",IF((M462="met")=(H462="met"),1,0))</f>
        <v/>
      </c>
    </row>
    <row r="463">
      <c r="A463" s="2" t="inlineStr">
        <is>
          <t>C15-27</t>
        </is>
      </c>
      <c r="B463" s="2">
        <f>Key!B463</f>
        <v/>
      </c>
      <c r="C463" s="2">
        <f>Key!C463</f>
        <v/>
      </c>
      <c r="D463" s="2">
        <f>IF(Key!D463="","",Key!D463)</f>
        <v/>
      </c>
      <c r="E463" s="2">
        <f>IF(Label_ChatGPT!F346="","",Label_ChatGPT!F346)</f>
        <v/>
      </c>
      <c r="F463" s="2">
        <f>IF(Label_ChatGPT!G346="","",Label_ChatGPT!G346)</f>
        <v/>
      </c>
      <c r="G463" s="5" t="n"/>
      <c r="H463" s="2">
        <f>IF(G463&lt;&gt;"",G463,IF(AND(E463&lt;&gt;"",E463=F463,E463&lt;&gt;"unsure"),E463,""))</f>
        <v/>
      </c>
      <c r="I463" s="2">
        <f>IF(AND(OR(E463="met",E463="not_met"),OR(F463="met",F463="not_met")),1,0)</f>
        <v/>
      </c>
      <c r="J463" s="2">
        <f>IF(I463=1,IF(E463=F463,1,0),"")</f>
        <v/>
      </c>
      <c r="K463" s="2" t="n"/>
      <c r="L463" s="2" t="n"/>
      <c r="M463" s="2" t="n"/>
      <c r="N463" s="2">
        <f>IF(OR(K463="",H463=""),"",IF((K463="met")=(H463="met"),1,0))</f>
        <v/>
      </c>
      <c r="O463" s="2">
        <f>IF(OR(L463="",H463=""),"",IF((L463="met")=(H463="met"),1,0))</f>
        <v/>
      </c>
      <c r="P463" s="2">
        <f>IF(OR(M463="",H463=""),"",IF((M463="met")=(H463="met"),1,0))</f>
        <v/>
      </c>
    </row>
    <row r="464">
      <c r="A464" s="2" t="inlineStr">
        <is>
          <t>C15-28</t>
        </is>
      </c>
      <c r="B464" s="2">
        <f>Key!B464</f>
        <v/>
      </c>
      <c r="C464" s="2">
        <f>Key!C464</f>
        <v/>
      </c>
      <c r="D464" s="2">
        <f>IF(Key!D464="","",Key!D464)</f>
        <v/>
      </c>
      <c r="E464" s="2">
        <f>IF(Label_ChatGPT!F347="","",Label_ChatGPT!F347)</f>
        <v/>
      </c>
      <c r="F464" s="2">
        <f>IF(Label_ChatGPT!G347="","",Label_ChatGPT!G347)</f>
        <v/>
      </c>
      <c r="G464" s="5" t="n"/>
      <c r="H464" s="2">
        <f>IF(G464&lt;&gt;"",G464,IF(AND(E464&lt;&gt;"",E464=F464,E464&lt;&gt;"unsure"),E464,""))</f>
        <v/>
      </c>
      <c r="I464" s="2">
        <f>IF(AND(OR(E464="met",E464="not_met"),OR(F464="met",F464="not_met")),1,0)</f>
        <v/>
      </c>
      <c r="J464" s="2">
        <f>IF(I464=1,IF(E464=F464,1,0),"")</f>
        <v/>
      </c>
      <c r="K464" s="2" t="n"/>
      <c r="L464" s="2" t="n"/>
      <c r="M464" s="2" t="n"/>
      <c r="N464" s="2">
        <f>IF(OR(K464="",H464=""),"",IF((K464="met")=(H464="met"),1,0))</f>
        <v/>
      </c>
      <c r="O464" s="2">
        <f>IF(OR(L464="",H464=""),"",IF((L464="met")=(H464="met"),1,0))</f>
        <v/>
      </c>
      <c r="P464" s="2">
        <f>IF(OR(M464="",H464=""),"",IF((M464="met")=(H464="met"),1,0))</f>
        <v/>
      </c>
    </row>
    <row r="465">
      <c r="A465" s="2" t="inlineStr">
        <is>
          <t>C15-29</t>
        </is>
      </c>
      <c r="B465" s="2">
        <f>Key!B465</f>
        <v/>
      </c>
      <c r="C465" s="2">
        <f>Key!C465</f>
        <v/>
      </c>
      <c r="D465" s="2">
        <f>IF(Key!D465="","",Key!D465)</f>
        <v/>
      </c>
      <c r="E465" s="2">
        <f>IF(Label_ChatGPT!F348="","",Label_ChatGPT!F348)</f>
        <v/>
      </c>
      <c r="F465" s="2">
        <f>IF(Label_ChatGPT!G348="","",Label_ChatGPT!G348)</f>
        <v/>
      </c>
      <c r="G465" s="5" t="n"/>
      <c r="H465" s="2">
        <f>IF(G465&lt;&gt;"",G465,IF(AND(E465&lt;&gt;"",E465=F465,E465&lt;&gt;"unsure"),E465,""))</f>
        <v/>
      </c>
      <c r="I465" s="2">
        <f>IF(AND(OR(E465="met",E465="not_met"),OR(F465="met",F465="not_met")),1,0)</f>
        <v/>
      </c>
      <c r="J465" s="2">
        <f>IF(I465=1,IF(E465=F465,1,0),"")</f>
        <v/>
      </c>
      <c r="K465" s="2" t="n"/>
      <c r="L465" s="2" t="n"/>
      <c r="M465" s="2" t="n"/>
      <c r="N465" s="2">
        <f>IF(OR(K465="",H465=""),"",IF((K465="met")=(H465="met"),1,0))</f>
        <v/>
      </c>
      <c r="O465" s="2">
        <f>IF(OR(L465="",H465=""),"",IF((L465="met")=(H465="met"),1,0))</f>
        <v/>
      </c>
      <c r="P465" s="2">
        <f>IF(OR(M465="",H465=""),"",IF((M465="met")=(H465="met"),1,0))</f>
        <v/>
      </c>
    </row>
    <row r="466">
      <c r="A466" s="2" t="inlineStr">
        <is>
          <t>C15-30</t>
        </is>
      </c>
      <c r="B466" s="2">
        <f>Key!B466</f>
        <v/>
      </c>
      <c r="C466" s="2">
        <f>Key!C466</f>
        <v/>
      </c>
      <c r="D466" s="2">
        <f>IF(Key!D466="","",Key!D466)</f>
        <v/>
      </c>
      <c r="E466" s="2">
        <f>IF(Label_ChatGPT!F349="","",Label_ChatGPT!F349)</f>
        <v/>
      </c>
      <c r="F466" s="2">
        <f>IF(Label_ChatGPT!G349="","",Label_ChatGPT!G349)</f>
        <v/>
      </c>
      <c r="G466" s="5" t="n"/>
      <c r="H466" s="2">
        <f>IF(G466&lt;&gt;"",G466,IF(AND(E466&lt;&gt;"",E466=F466,E466&lt;&gt;"unsure"),E466,""))</f>
        <v/>
      </c>
      <c r="I466" s="2">
        <f>IF(AND(OR(E466="met",E466="not_met"),OR(F466="met",F466="not_met")),1,0)</f>
        <v/>
      </c>
      <c r="J466" s="2">
        <f>IF(I466=1,IF(E466=F466,1,0),"")</f>
        <v/>
      </c>
      <c r="K466" s="2" t="n"/>
      <c r="L466" s="2" t="n"/>
      <c r="M466" s="2" t="n"/>
      <c r="N466" s="2">
        <f>IF(OR(K466="",H466=""),"",IF((K466="met")=(H466="met"),1,0))</f>
        <v/>
      </c>
      <c r="O466" s="2">
        <f>IF(OR(L466="",H466=""),"",IF((L466="met")=(H466="met"),1,0))</f>
        <v/>
      </c>
      <c r="P466" s="2">
        <f>IF(OR(M466="",H466=""),"",IF((M466="met")=(H466="met"),1,0))</f>
        <v/>
      </c>
    </row>
    <row r="467">
      <c r="A467" s="2" t="inlineStr">
        <is>
          <t>C15-31</t>
        </is>
      </c>
      <c r="B467" s="2">
        <f>Key!B467</f>
        <v/>
      </c>
      <c r="C467" s="2">
        <f>Key!C467</f>
        <v/>
      </c>
      <c r="D467" s="2">
        <f>IF(Key!D467="","",Key!D467)</f>
        <v/>
      </c>
      <c r="E467" s="2">
        <f>IF(Label_ChatGPT!F350="","",Label_ChatGPT!F350)</f>
        <v/>
      </c>
      <c r="F467" s="2">
        <f>IF(Label_ChatGPT!G350="","",Label_ChatGPT!G350)</f>
        <v/>
      </c>
      <c r="G467" s="5" t="n"/>
      <c r="H467" s="2">
        <f>IF(G467&lt;&gt;"",G467,IF(AND(E467&lt;&gt;"",E467=F467,E467&lt;&gt;"unsure"),E467,""))</f>
        <v/>
      </c>
      <c r="I467" s="2">
        <f>IF(AND(OR(E467="met",E467="not_met"),OR(F467="met",F467="not_met")),1,0)</f>
        <v/>
      </c>
      <c r="J467" s="2">
        <f>IF(I467=1,IF(E467=F467,1,0),"")</f>
        <v/>
      </c>
      <c r="K467" s="2" t="n"/>
      <c r="L467" s="2" t="n"/>
      <c r="M467" s="2" t="n"/>
      <c r="N467" s="2">
        <f>IF(OR(K467="",H467=""),"",IF((K467="met")=(H467="met"),1,0))</f>
        <v/>
      </c>
      <c r="O467" s="2">
        <f>IF(OR(L467="",H467=""),"",IF((L467="met")=(H467="met"),1,0))</f>
        <v/>
      </c>
      <c r="P467" s="2">
        <f>IF(OR(M467="",H467=""),"",IF((M467="met")=(H467="met"),1,0))</f>
        <v/>
      </c>
    </row>
    <row r="468">
      <c r="A468" s="2" t="inlineStr">
        <is>
          <t>C15-32</t>
        </is>
      </c>
      <c r="B468" s="2">
        <f>Key!B468</f>
        <v/>
      </c>
      <c r="C468" s="2">
        <f>Key!C468</f>
        <v/>
      </c>
      <c r="D468" s="2">
        <f>IF(Key!D468="","",Key!D468)</f>
        <v/>
      </c>
      <c r="E468" s="2">
        <f>IF(Label_ChatGPT!F351="","",Label_ChatGPT!F351)</f>
        <v/>
      </c>
      <c r="F468" s="2">
        <f>IF(Label_ChatGPT!G351="","",Label_ChatGPT!G351)</f>
        <v/>
      </c>
      <c r="G468" s="5" t="n"/>
      <c r="H468" s="2">
        <f>IF(G468&lt;&gt;"",G468,IF(AND(E468&lt;&gt;"",E468=F468,E468&lt;&gt;"unsure"),E468,""))</f>
        <v/>
      </c>
      <c r="I468" s="2">
        <f>IF(AND(OR(E468="met",E468="not_met"),OR(F468="met",F468="not_met")),1,0)</f>
        <v/>
      </c>
      <c r="J468" s="2">
        <f>IF(I468=1,IF(E468=F468,1,0),"")</f>
        <v/>
      </c>
      <c r="K468" s="2" t="n"/>
      <c r="L468" s="2" t="n"/>
      <c r="M468" s="2" t="n"/>
      <c r="N468" s="2">
        <f>IF(OR(K468="",H468=""),"",IF((K468="met")=(H468="met"),1,0))</f>
        <v/>
      </c>
      <c r="O468" s="2">
        <f>IF(OR(L468="",H468=""),"",IF((L468="met")=(H468="met"),1,0))</f>
        <v/>
      </c>
      <c r="P468" s="2">
        <f>IF(OR(M468="",H468=""),"",IF((M468="met")=(H468="met"),1,0))</f>
        <v/>
      </c>
    </row>
    <row r="469">
      <c r="A469" s="2" t="inlineStr">
        <is>
          <t>C15-33</t>
        </is>
      </c>
      <c r="B469" s="2">
        <f>Key!B469</f>
        <v/>
      </c>
      <c r="C469" s="2">
        <f>Key!C469</f>
        <v/>
      </c>
      <c r="D469" s="2">
        <f>IF(Key!D469="","",Key!D469)</f>
        <v/>
      </c>
      <c r="E469" s="2">
        <f>IF(Label_ChatGPT!F352="","",Label_ChatGPT!F352)</f>
        <v/>
      </c>
      <c r="F469" s="2">
        <f>IF(Label_ChatGPT!G352="","",Label_ChatGPT!G352)</f>
        <v/>
      </c>
      <c r="G469" s="5" t="n"/>
      <c r="H469" s="2">
        <f>IF(G469&lt;&gt;"",G469,IF(AND(E469&lt;&gt;"",E469=F469,E469&lt;&gt;"unsure"),E469,""))</f>
        <v/>
      </c>
      <c r="I469" s="2">
        <f>IF(AND(OR(E469="met",E469="not_met"),OR(F469="met",F469="not_met")),1,0)</f>
        <v/>
      </c>
      <c r="J469" s="2">
        <f>IF(I469=1,IF(E469=F469,1,0),"")</f>
        <v/>
      </c>
      <c r="K469" s="2" t="n"/>
      <c r="L469" s="2" t="n"/>
      <c r="M469" s="2" t="n"/>
      <c r="N469" s="2">
        <f>IF(OR(K469="",H469=""),"",IF((K469="met")=(H469="met"),1,0))</f>
        <v/>
      </c>
      <c r="O469" s="2">
        <f>IF(OR(L469="",H469=""),"",IF((L469="met")=(H469="met"),1,0))</f>
        <v/>
      </c>
      <c r="P469" s="2">
        <f>IF(OR(M469="",H469=""),"",IF((M469="met")=(H469="met"),1,0))</f>
        <v/>
      </c>
    </row>
    <row r="470">
      <c r="A470" s="2" t="inlineStr">
        <is>
          <t>C15-34</t>
        </is>
      </c>
      <c r="B470" s="2">
        <f>Key!B470</f>
        <v/>
      </c>
      <c r="C470" s="2">
        <f>Key!C470</f>
        <v/>
      </c>
      <c r="D470" s="2">
        <f>IF(Key!D470="","",Key!D470)</f>
        <v/>
      </c>
      <c r="E470" s="2">
        <f>IF(Label_ChatGPT!F353="","",Label_ChatGPT!F353)</f>
        <v/>
      </c>
      <c r="F470" s="2">
        <f>IF(Label_ChatGPT!G353="","",Label_ChatGPT!G353)</f>
        <v/>
      </c>
      <c r="G470" s="5" t="n"/>
      <c r="H470" s="2">
        <f>IF(G470&lt;&gt;"",G470,IF(AND(E470&lt;&gt;"",E470=F470,E470&lt;&gt;"unsure"),E470,""))</f>
        <v/>
      </c>
      <c r="I470" s="2">
        <f>IF(AND(OR(E470="met",E470="not_met"),OR(F470="met",F470="not_met")),1,0)</f>
        <v/>
      </c>
      <c r="J470" s="2">
        <f>IF(I470=1,IF(E470=F470,1,0),"")</f>
        <v/>
      </c>
      <c r="K470" s="2" t="n"/>
      <c r="L470" s="2" t="n"/>
      <c r="M470" s="2" t="n"/>
      <c r="N470" s="2">
        <f>IF(OR(K470="",H470=""),"",IF((K470="met")=(H470="met"),1,0))</f>
        <v/>
      </c>
      <c r="O470" s="2">
        <f>IF(OR(L470="",H470=""),"",IF((L470="met")=(H470="met"),1,0))</f>
        <v/>
      </c>
      <c r="P470" s="2">
        <f>IF(OR(M470="",H470=""),"",IF((M470="met")=(H470="met"),1,0))</f>
        <v/>
      </c>
    </row>
    <row r="471">
      <c r="A471" s="2" t="inlineStr">
        <is>
          <t>C15-35</t>
        </is>
      </c>
      <c r="B471" s="2">
        <f>Key!B471</f>
        <v/>
      </c>
      <c r="C471" s="2">
        <f>Key!C471</f>
        <v/>
      </c>
      <c r="D471" s="2">
        <f>IF(Key!D471="","",Key!D471)</f>
        <v/>
      </c>
      <c r="E471" s="2">
        <f>IF(Label_ChatGPT!F354="","",Label_ChatGPT!F354)</f>
        <v/>
      </c>
      <c r="F471" s="2">
        <f>IF(Label_ChatGPT!G354="","",Label_ChatGPT!G354)</f>
        <v/>
      </c>
      <c r="G471" s="5" t="n"/>
      <c r="H471" s="2">
        <f>IF(G471&lt;&gt;"",G471,IF(AND(E471&lt;&gt;"",E471=F471,E471&lt;&gt;"unsure"),E471,""))</f>
        <v/>
      </c>
      <c r="I471" s="2">
        <f>IF(AND(OR(E471="met",E471="not_met"),OR(F471="met",F471="not_met")),1,0)</f>
        <v/>
      </c>
      <c r="J471" s="2">
        <f>IF(I471=1,IF(E471=F471,1,0),"")</f>
        <v/>
      </c>
      <c r="K471" s="2" t="n"/>
      <c r="L471" s="2" t="n"/>
      <c r="M471" s="2" t="n"/>
      <c r="N471" s="2">
        <f>IF(OR(K471="",H471=""),"",IF((K471="met")=(H471="met"),1,0))</f>
        <v/>
      </c>
      <c r="O471" s="2">
        <f>IF(OR(L471="",H471=""),"",IF((L471="met")=(H471="met"),1,0))</f>
        <v/>
      </c>
      <c r="P471" s="2">
        <f>IF(OR(M471="",H471=""),"",IF((M471="met")=(H471="met"),1,0))</f>
        <v/>
      </c>
    </row>
    <row r="472">
      <c r="A472" s="2" t="inlineStr">
        <is>
          <t>C15-36</t>
        </is>
      </c>
      <c r="B472" s="2">
        <f>Key!B472</f>
        <v/>
      </c>
      <c r="C472" s="2">
        <f>Key!C472</f>
        <v/>
      </c>
      <c r="D472" s="2">
        <f>IF(Key!D472="","",Key!D472)</f>
        <v/>
      </c>
      <c r="E472" s="2">
        <f>IF(Label_ChatGPT!F355="","",Label_ChatGPT!F355)</f>
        <v/>
      </c>
      <c r="F472" s="2">
        <f>IF(Label_ChatGPT!G355="","",Label_ChatGPT!G355)</f>
        <v/>
      </c>
      <c r="G472" s="5" t="n"/>
      <c r="H472" s="2">
        <f>IF(G472&lt;&gt;"",G472,IF(AND(E472&lt;&gt;"",E472=F472,E472&lt;&gt;"unsure"),E472,""))</f>
        <v/>
      </c>
      <c r="I472" s="2">
        <f>IF(AND(OR(E472="met",E472="not_met"),OR(F472="met",F472="not_met")),1,0)</f>
        <v/>
      </c>
      <c r="J472" s="2">
        <f>IF(I472=1,IF(E472=F472,1,0),"")</f>
        <v/>
      </c>
      <c r="K472" s="2" t="n"/>
      <c r="L472" s="2" t="n"/>
      <c r="M472" s="2" t="n"/>
      <c r="N472" s="2">
        <f>IF(OR(K472="",H472=""),"",IF((K472="met")=(H472="met"),1,0))</f>
        <v/>
      </c>
      <c r="O472" s="2">
        <f>IF(OR(L472="",H472=""),"",IF((L472="met")=(H472="met"),1,0))</f>
        <v/>
      </c>
      <c r="P472" s="2">
        <f>IF(OR(M472="",H472=""),"",IF((M472="met")=(H472="met"),1,0))</f>
        <v/>
      </c>
    </row>
    <row r="473">
      <c r="A473" s="2" t="inlineStr">
        <is>
          <t>C15-37</t>
        </is>
      </c>
      <c r="B473" s="2">
        <f>Key!B473</f>
        <v/>
      </c>
      <c r="C473" s="2">
        <f>Key!C473</f>
        <v/>
      </c>
      <c r="D473" s="2">
        <f>IF(Key!D473="","",Key!D473)</f>
        <v/>
      </c>
      <c r="E473" s="2">
        <f>IF(Label_ChatGPT!F356="","",Label_ChatGPT!F356)</f>
        <v/>
      </c>
      <c r="F473" s="2">
        <f>IF(Label_ChatGPT!G356="","",Label_ChatGPT!G356)</f>
        <v/>
      </c>
      <c r="G473" s="5" t="n"/>
      <c r="H473" s="2">
        <f>IF(G473&lt;&gt;"",G473,IF(AND(E473&lt;&gt;"",E473=F473,E473&lt;&gt;"unsure"),E473,""))</f>
        <v/>
      </c>
      <c r="I473" s="2">
        <f>IF(AND(OR(E473="met",E473="not_met"),OR(F473="met",F473="not_met")),1,0)</f>
        <v/>
      </c>
      <c r="J473" s="2">
        <f>IF(I473=1,IF(E473=F473,1,0),"")</f>
        <v/>
      </c>
      <c r="K473" s="2" t="n"/>
      <c r="L473" s="2" t="n"/>
      <c r="M473" s="2" t="n"/>
      <c r="N473" s="2">
        <f>IF(OR(K473="",H473=""),"",IF((K473="met")=(H473="met"),1,0))</f>
        <v/>
      </c>
      <c r="O473" s="2">
        <f>IF(OR(L473="",H473=""),"",IF((L473="met")=(H473="met"),1,0))</f>
        <v/>
      </c>
      <c r="P473" s="2">
        <f>IF(OR(M473="",H473=""),"",IF((M473="met")=(H473="met"),1,0))</f>
        <v/>
      </c>
    </row>
    <row r="474">
      <c r="A474" s="2" t="inlineStr">
        <is>
          <t>C15-38</t>
        </is>
      </c>
      <c r="B474" s="2">
        <f>Key!B474</f>
        <v/>
      </c>
      <c r="C474" s="2">
        <f>Key!C474</f>
        <v/>
      </c>
      <c r="D474" s="2">
        <f>IF(Key!D474="","",Key!D474)</f>
        <v/>
      </c>
      <c r="E474" s="2">
        <f>IF(Label_ChatGPT!F357="","",Label_ChatGPT!F357)</f>
        <v/>
      </c>
      <c r="F474" s="2">
        <f>IF(Label_ChatGPT!G357="","",Label_ChatGPT!G357)</f>
        <v/>
      </c>
      <c r="G474" s="5" t="n"/>
      <c r="H474" s="2">
        <f>IF(G474&lt;&gt;"",G474,IF(AND(E474&lt;&gt;"",E474=F474,E474&lt;&gt;"unsure"),E474,""))</f>
        <v/>
      </c>
      <c r="I474" s="2">
        <f>IF(AND(OR(E474="met",E474="not_met"),OR(F474="met",F474="not_met")),1,0)</f>
        <v/>
      </c>
      <c r="J474" s="2">
        <f>IF(I474=1,IF(E474=F474,1,0),"")</f>
        <v/>
      </c>
      <c r="K474" s="2" t="n"/>
      <c r="L474" s="2" t="n"/>
      <c r="M474" s="2" t="n"/>
      <c r="N474" s="2">
        <f>IF(OR(K474="",H474=""),"",IF((K474="met")=(H474="met"),1,0))</f>
        <v/>
      </c>
      <c r="O474" s="2">
        <f>IF(OR(L474="",H474=""),"",IF((L474="met")=(H474="met"),1,0))</f>
        <v/>
      </c>
      <c r="P474" s="2">
        <f>IF(OR(M474="",H474=""),"",IF((M474="met")=(H474="met"),1,0))</f>
        <v/>
      </c>
    </row>
    <row r="475">
      <c r="A475" s="2" t="inlineStr">
        <is>
          <t>C15-39</t>
        </is>
      </c>
      <c r="B475" s="2">
        <f>Key!B475</f>
        <v/>
      </c>
      <c r="C475" s="2">
        <f>Key!C475</f>
        <v/>
      </c>
      <c r="D475" s="2">
        <f>IF(Key!D475="","",Key!D475)</f>
        <v/>
      </c>
      <c r="E475" s="2">
        <f>IF(Label_ChatGPT!F358="","",Label_ChatGPT!F358)</f>
        <v/>
      </c>
      <c r="F475" s="2">
        <f>IF(Label_ChatGPT!G358="","",Label_ChatGPT!G358)</f>
        <v/>
      </c>
      <c r="G475" s="5" t="n"/>
      <c r="H475" s="2">
        <f>IF(G475&lt;&gt;"",G475,IF(AND(E475&lt;&gt;"",E475=F475,E475&lt;&gt;"unsure"),E475,""))</f>
        <v/>
      </c>
      <c r="I475" s="2">
        <f>IF(AND(OR(E475="met",E475="not_met"),OR(F475="met",F475="not_met")),1,0)</f>
        <v/>
      </c>
      <c r="J475" s="2">
        <f>IF(I475=1,IF(E475=F475,1,0),"")</f>
        <v/>
      </c>
      <c r="K475" s="2" t="n"/>
      <c r="L475" s="2" t="n"/>
      <c r="M475" s="2" t="n"/>
      <c r="N475" s="2">
        <f>IF(OR(K475="",H475=""),"",IF((K475="met")=(H475="met"),1,0))</f>
        <v/>
      </c>
      <c r="O475" s="2">
        <f>IF(OR(L475="",H475=""),"",IF((L475="met")=(H475="met"),1,0))</f>
        <v/>
      </c>
      <c r="P475" s="2">
        <f>IF(OR(M475="",H475=""),"",IF((M475="met")=(H475="met"),1,0))</f>
        <v/>
      </c>
    </row>
    <row r="476">
      <c r="A476" s="2" t="inlineStr">
        <is>
          <t>C15-40</t>
        </is>
      </c>
      <c r="B476" s="2">
        <f>Key!B476</f>
        <v/>
      </c>
      <c r="C476" s="2">
        <f>Key!C476</f>
        <v/>
      </c>
      <c r="D476" s="2">
        <f>IF(Key!D476="","",Key!D476)</f>
        <v/>
      </c>
      <c r="E476" s="2">
        <f>IF(Label_ChatGPT!F359="","",Label_ChatGPT!F359)</f>
        <v/>
      </c>
      <c r="F476" s="2">
        <f>IF(Label_ChatGPT!G359="","",Label_ChatGPT!G359)</f>
        <v/>
      </c>
      <c r="G476" s="5" t="n"/>
      <c r="H476" s="2">
        <f>IF(G476&lt;&gt;"",G476,IF(AND(E476&lt;&gt;"",E476=F476,E476&lt;&gt;"unsure"),E476,""))</f>
        <v/>
      </c>
      <c r="I476" s="2">
        <f>IF(AND(OR(E476="met",E476="not_met"),OR(F476="met",F476="not_met")),1,0)</f>
        <v/>
      </c>
      <c r="J476" s="2">
        <f>IF(I476=1,IF(E476=F476,1,0),"")</f>
        <v/>
      </c>
      <c r="K476" s="2" t="n"/>
      <c r="L476" s="2" t="n"/>
      <c r="M476" s="2" t="n"/>
      <c r="N476" s="2">
        <f>IF(OR(K476="",H476=""),"",IF((K476="met")=(H476="met"),1,0))</f>
        <v/>
      </c>
      <c r="O476" s="2">
        <f>IF(OR(L476="",H476=""),"",IF((L476="met")=(H476="met"),1,0))</f>
        <v/>
      </c>
      <c r="P476" s="2">
        <f>IF(OR(M476="",H476=""),"",IF((M476="met")=(H476="met"),1,0))</f>
        <v/>
      </c>
    </row>
    <row r="477">
      <c r="A477" s="2" t="inlineStr">
        <is>
          <t>C15-41</t>
        </is>
      </c>
      <c r="B477" s="2">
        <f>Key!B477</f>
        <v/>
      </c>
      <c r="C477" s="2">
        <f>Key!C477</f>
        <v/>
      </c>
      <c r="D477" s="2">
        <f>IF(Key!D477="","",Key!D477)</f>
        <v/>
      </c>
      <c r="E477" s="2">
        <f>IF(Label_ChatGPT!F360="","",Label_ChatGPT!F360)</f>
        <v/>
      </c>
      <c r="F477" s="2">
        <f>IF(Label_ChatGPT!G360="","",Label_ChatGPT!G360)</f>
        <v/>
      </c>
      <c r="G477" s="5" t="n"/>
      <c r="H477" s="2">
        <f>IF(G477&lt;&gt;"",G477,IF(AND(E477&lt;&gt;"",E477=F477,E477&lt;&gt;"unsure"),E477,""))</f>
        <v/>
      </c>
      <c r="I477" s="2">
        <f>IF(AND(OR(E477="met",E477="not_met"),OR(F477="met",F477="not_met")),1,0)</f>
        <v/>
      </c>
      <c r="J477" s="2">
        <f>IF(I477=1,IF(E477=F477,1,0),"")</f>
        <v/>
      </c>
      <c r="K477" s="2" t="n"/>
      <c r="L477" s="2" t="n"/>
      <c r="M477" s="2" t="n"/>
      <c r="N477" s="2">
        <f>IF(OR(K477="",H477=""),"",IF((K477="met")=(H477="met"),1,0))</f>
        <v/>
      </c>
      <c r="O477" s="2">
        <f>IF(OR(L477="",H477=""),"",IF((L477="met")=(H477="met"),1,0))</f>
        <v/>
      </c>
      <c r="P477" s="2">
        <f>IF(OR(M477="",H477=""),"",IF((M477="met")=(H477="met"),1,0))</f>
        <v/>
      </c>
    </row>
    <row r="478">
      <c r="A478" s="2" t="inlineStr">
        <is>
          <t>C15-42</t>
        </is>
      </c>
      <c r="B478" s="2">
        <f>Key!B478</f>
        <v/>
      </c>
      <c r="C478" s="2">
        <f>Key!C478</f>
        <v/>
      </c>
      <c r="D478" s="2">
        <f>IF(Key!D478="","",Key!D478)</f>
        <v/>
      </c>
      <c r="E478" s="2">
        <f>IF(Label_ChatGPT!F361="","",Label_ChatGPT!F361)</f>
        <v/>
      </c>
      <c r="F478" s="2">
        <f>IF(Label_ChatGPT!G361="","",Label_ChatGPT!G361)</f>
        <v/>
      </c>
      <c r="G478" s="5" t="n"/>
      <c r="H478" s="2">
        <f>IF(G478&lt;&gt;"",G478,IF(AND(E478&lt;&gt;"",E478=F478,E478&lt;&gt;"unsure"),E478,""))</f>
        <v/>
      </c>
      <c r="I478" s="2">
        <f>IF(AND(OR(E478="met",E478="not_met"),OR(F478="met",F478="not_met")),1,0)</f>
        <v/>
      </c>
      <c r="J478" s="2">
        <f>IF(I478=1,IF(E478=F478,1,0),"")</f>
        <v/>
      </c>
      <c r="K478" s="2" t="n"/>
      <c r="L478" s="2" t="n"/>
      <c r="M478" s="2" t="n"/>
      <c r="N478" s="2">
        <f>IF(OR(K478="",H478=""),"",IF((K478="met")=(H478="met"),1,0))</f>
        <v/>
      </c>
      <c r="O478" s="2">
        <f>IF(OR(L478="",H478=""),"",IF((L478="met")=(H478="met"),1,0))</f>
        <v/>
      </c>
      <c r="P478" s="2">
        <f>IF(OR(M478="",H478=""),"",IF((M478="met")=(H478="met"),1,0))</f>
        <v/>
      </c>
    </row>
    <row r="479">
      <c r="A479" s="2" t="inlineStr">
        <is>
          <t>C16-01</t>
        </is>
      </c>
      <c r="B479" s="2">
        <f>Key!B479</f>
        <v/>
      </c>
      <c r="C479" s="2">
        <f>Key!C479</f>
        <v/>
      </c>
      <c r="D479" s="2">
        <f>IF(Key!D479="","",Key!D479)</f>
        <v/>
      </c>
      <c r="E479" s="2">
        <f>IF(Label_ChatGPT!F362="","",Label_ChatGPT!F362)</f>
        <v/>
      </c>
      <c r="F479" s="2">
        <f>IF(Label_ChatGPT!G362="","",Label_ChatGPT!G362)</f>
        <v/>
      </c>
      <c r="G479" s="5" t="n"/>
      <c r="H479" s="2">
        <f>IF(G479&lt;&gt;"",G479,IF(AND(E479&lt;&gt;"",E479=F479,E479&lt;&gt;"unsure"),E479,""))</f>
        <v/>
      </c>
      <c r="I479" s="2">
        <f>IF(AND(OR(E479="met",E479="not_met"),OR(F479="met",F479="not_met")),1,0)</f>
        <v/>
      </c>
      <c r="J479" s="2">
        <f>IF(I479=1,IF(E479=F479,1,0),"")</f>
        <v/>
      </c>
      <c r="K479" s="2" t="n"/>
      <c r="L479" s="2" t="n"/>
      <c r="M479" s="2" t="n"/>
      <c r="N479" s="2">
        <f>IF(OR(K479="",H479=""),"",IF((K479="met")=(H479="met"),1,0))</f>
        <v/>
      </c>
      <c r="O479" s="2">
        <f>IF(OR(L479="",H479=""),"",IF((L479="met")=(H479="met"),1,0))</f>
        <v/>
      </c>
      <c r="P479" s="2">
        <f>IF(OR(M479="",H479=""),"",IF((M479="met")=(H479="met"),1,0))</f>
        <v/>
      </c>
    </row>
    <row r="480">
      <c r="A480" s="2" t="inlineStr">
        <is>
          <t>C16-02</t>
        </is>
      </c>
      <c r="B480" s="2">
        <f>Key!B480</f>
        <v/>
      </c>
      <c r="C480" s="2">
        <f>Key!C480</f>
        <v/>
      </c>
      <c r="D480" s="2">
        <f>IF(Key!D480="","",Key!D480)</f>
        <v/>
      </c>
      <c r="E480" s="2">
        <f>IF(Label_ChatGPT!F363="","",Label_ChatGPT!F363)</f>
        <v/>
      </c>
      <c r="F480" s="2">
        <f>IF(Label_ChatGPT!G363="","",Label_ChatGPT!G363)</f>
        <v/>
      </c>
      <c r="G480" s="5" t="n"/>
      <c r="H480" s="2">
        <f>IF(G480&lt;&gt;"",G480,IF(AND(E480&lt;&gt;"",E480=F480,E480&lt;&gt;"unsure"),E480,""))</f>
        <v/>
      </c>
      <c r="I480" s="2">
        <f>IF(AND(OR(E480="met",E480="not_met"),OR(F480="met",F480="not_met")),1,0)</f>
        <v/>
      </c>
      <c r="J480" s="2">
        <f>IF(I480=1,IF(E480=F480,1,0),"")</f>
        <v/>
      </c>
      <c r="K480" s="2" t="n"/>
      <c r="L480" s="2" t="n"/>
      <c r="M480" s="2" t="n"/>
      <c r="N480" s="2">
        <f>IF(OR(K480="",H480=""),"",IF((K480="met")=(H480="met"),1,0))</f>
        <v/>
      </c>
      <c r="O480" s="2">
        <f>IF(OR(L480="",H480=""),"",IF((L480="met")=(H480="met"),1,0))</f>
        <v/>
      </c>
      <c r="P480" s="2">
        <f>IF(OR(M480="",H480=""),"",IF((M480="met")=(H480="met"),1,0))</f>
        <v/>
      </c>
    </row>
    <row r="481">
      <c r="A481" s="2" t="inlineStr">
        <is>
          <t>C16-03</t>
        </is>
      </c>
      <c r="B481" s="2">
        <f>Key!B481</f>
        <v/>
      </c>
      <c r="C481" s="2">
        <f>Key!C481</f>
        <v/>
      </c>
      <c r="D481" s="2">
        <f>IF(Key!D481="","",Key!D481)</f>
        <v/>
      </c>
      <c r="E481" s="2">
        <f>IF(Label_ChatGPT!F364="","",Label_ChatGPT!F364)</f>
        <v/>
      </c>
      <c r="F481" s="2">
        <f>IF(Label_ChatGPT!G364="","",Label_ChatGPT!G364)</f>
        <v/>
      </c>
      <c r="G481" s="5" t="n"/>
      <c r="H481" s="2">
        <f>IF(G481&lt;&gt;"",G481,IF(AND(E481&lt;&gt;"",E481=F481,E481&lt;&gt;"unsure"),E481,""))</f>
        <v/>
      </c>
      <c r="I481" s="2">
        <f>IF(AND(OR(E481="met",E481="not_met"),OR(F481="met",F481="not_met")),1,0)</f>
        <v/>
      </c>
      <c r="J481" s="2">
        <f>IF(I481=1,IF(E481=F481,1,0),"")</f>
        <v/>
      </c>
      <c r="K481" s="2" t="n"/>
      <c r="L481" s="2" t="n"/>
      <c r="M481" s="2" t="n"/>
      <c r="N481" s="2">
        <f>IF(OR(K481="",H481=""),"",IF((K481="met")=(H481="met"),1,0))</f>
        <v/>
      </c>
      <c r="O481" s="2">
        <f>IF(OR(L481="",H481=""),"",IF((L481="met")=(H481="met"),1,0))</f>
        <v/>
      </c>
      <c r="P481" s="2">
        <f>IF(OR(M481="",H481=""),"",IF((M481="met")=(H481="met"),1,0))</f>
        <v/>
      </c>
    </row>
    <row r="482">
      <c r="A482" s="2" t="inlineStr">
        <is>
          <t>C16-04</t>
        </is>
      </c>
      <c r="B482" s="2">
        <f>Key!B482</f>
        <v/>
      </c>
      <c r="C482" s="2">
        <f>Key!C482</f>
        <v/>
      </c>
      <c r="D482" s="2">
        <f>IF(Key!D482="","",Key!D482)</f>
        <v/>
      </c>
      <c r="E482" s="2">
        <f>IF(Label_ChatGPT!F365="","",Label_ChatGPT!F365)</f>
        <v/>
      </c>
      <c r="F482" s="2">
        <f>IF(Label_ChatGPT!G365="","",Label_ChatGPT!G365)</f>
        <v/>
      </c>
      <c r="G482" s="5" t="n"/>
      <c r="H482" s="2">
        <f>IF(G482&lt;&gt;"",G482,IF(AND(E482&lt;&gt;"",E482=F482,E482&lt;&gt;"unsure"),E482,""))</f>
        <v/>
      </c>
      <c r="I482" s="2">
        <f>IF(AND(OR(E482="met",E482="not_met"),OR(F482="met",F482="not_met")),1,0)</f>
        <v/>
      </c>
      <c r="J482" s="2">
        <f>IF(I482=1,IF(E482=F482,1,0),"")</f>
        <v/>
      </c>
      <c r="K482" s="2" t="n"/>
      <c r="L482" s="2" t="n"/>
      <c r="M482" s="2" t="n"/>
      <c r="N482" s="2">
        <f>IF(OR(K482="",H482=""),"",IF((K482="met")=(H482="met"),1,0))</f>
        <v/>
      </c>
      <c r="O482" s="2">
        <f>IF(OR(L482="",H482=""),"",IF((L482="met")=(H482="met"),1,0))</f>
        <v/>
      </c>
      <c r="P482" s="2">
        <f>IF(OR(M482="",H482=""),"",IF((M482="met")=(H482="met"),1,0))</f>
        <v/>
      </c>
    </row>
    <row r="483">
      <c r="A483" s="2" t="inlineStr">
        <is>
          <t>C16-05</t>
        </is>
      </c>
      <c r="B483" s="2">
        <f>Key!B483</f>
        <v/>
      </c>
      <c r="C483" s="2">
        <f>Key!C483</f>
        <v/>
      </c>
      <c r="D483" s="2">
        <f>IF(Key!D483="","",Key!D483)</f>
        <v/>
      </c>
      <c r="E483" s="2">
        <f>IF(Label_ChatGPT!F366="","",Label_ChatGPT!F366)</f>
        <v/>
      </c>
      <c r="F483" s="2">
        <f>IF(Label_ChatGPT!G366="","",Label_ChatGPT!G366)</f>
        <v/>
      </c>
      <c r="G483" s="5" t="n"/>
      <c r="H483" s="2">
        <f>IF(G483&lt;&gt;"",G483,IF(AND(E483&lt;&gt;"",E483=F483,E483&lt;&gt;"unsure"),E483,""))</f>
        <v/>
      </c>
      <c r="I483" s="2">
        <f>IF(AND(OR(E483="met",E483="not_met"),OR(F483="met",F483="not_met")),1,0)</f>
        <v/>
      </c>
      <c r="J483" s="2">
        <f>IF(I483=1,IF(E483=F483,1,0),"")</f>
        <v/>
      </c>
      <c r="K483" s="2" t="n"/>
      <c r="L483" s="2" t="n"/>
      <c r="M483" s="2" t="n"/>
      <c r="N483" s="2">
        <f>IF(OR(K483="",H483=""),"",IF((K483="met")=(H483="met"),1,0))</f>
        <v/>
      </c>
      <c r="O483" s="2">
        <f>IF(OR(L483="",H483=""),"",IF((L483="met")=(H483="met"),1,0))</f>
        <v/>
      </c>
      <c r="P483" s="2">
        <f>IF(OR(M483="",H483=""),"",IF((M483="met")=(H483="met"),1,0))</f>
        <v/>
      </c>
    </row>
    <row r="484">
      <c r="A484" s="2" t="inlineStr">
        <is>
          <t>C16-06</t>
        </is>
      </c>
      <c r="B484" s="2">
        <f>Key!B484</f>
        <v/>
      </c>
      <c r="C484" s="2">
        <f>Key!C484</f>
        <v/>
      </c>
      <c r="D484" s="2">
        <f>IF(Key!D484="","",Key!D484)</f>
        <v/>
      </c>
      <c r="E484" s="2">
        <f>IF(Label_ChatGPT!F367="","",Label_ChatGPT!F367)</f>
        <v/>
      </c>
      <c r="F484" s="2">
        <f>IF(Label_ChatGPT!G367="","",Label_ChatGPT!G367)</f>
        <v/>
      </c>
      <c r="G484" s="5" t="n"/>
      <c r="H484" s="2">
        <f>IF(G484&lt;&gt;"",G484,IF(AND(E484&lt;&gt;"",E484=F484,E484&lt;&gt;"unsure"),E484,""))</f>
        <v/>
      </c>
      <c r="I484" s="2">
        <f>IF(AND(OR(E484="met",E484="not_met"),OR(F484="met",F484="not_met")),1,0)</f>
        <v/>
      </c>
      <c r="J484" s="2">
        <f>IF(I484=1,IF(E484=F484,1,0),"")</f>
        <v/>
      </c>
      <c r="K484" s="2" t="n"/>
      <c r="L484" s="2" t="n"/>
      <c r="M484" s="2" t="n"/>
      <c r="N484" s="2">
        <f>IF(OR(K484="",H484=""),"",IF((K484="met")=(H484="met"),1,0))</f>
        <v/>
      </c>
      <c r="O484" s="2">
        <f>IF(OR(L484="",H484=""),"",IF((L484="met")=(H484="met"),1,0))</f>
        <v/>
      </c>
      <c r="P484" s="2">
        <f>IF(OR(M484="",H484=""),"",IF((M484="met")=(H484="met"),1,0))</f>
        <v/>
      </c>
    </row>
    <row r="485">
      <c r="A485" s="2" t="inlineStr">
        <is>
          <t>C16-07</t>
        </is>
      </c>
      <c r="B485" s="2">
        <f>Key!B485</f>
        <v/>
      </c>
      <c r="C485" s="2">
        <f>Key!C485</f>
        <v/>
      </c>
      <c r="D485" s="2">
        <f>IF(Key!D485="","",Key!D485)</f>
        <v/>
      </c>
      <c r="E485" s="2">
        <f>IF(Label_ChatGPT!F368="","",Label_ChatGPT!F368)</f>
        <v/>
      </c>
      <c r="F485" s="2">
        <f>IF(Label_ChatGPT!G368="","",Label_ChatGPT!G368)</f>
        <v/>
      </c>
      <c r="G485" s="5" t="n"/>
      <c r="H485" s="2">
        <f>IF(G485&lt;&gt;"",G485,IF(AND(E485&lt;&gt;"",E485=F485,E485&lt;&gt;"unsure"),E485,""))</f>
        <v/>
      </c>
      <c r="I485" s="2">
        <f>IF(AND(OR(E485="met",E485="not_met"),OR(F485="met",F485="not_met")),1,0)</f>
        <v/>
      </c>
      <c r="J485" s="2">
        <f>IF(I485=1,IF(E485=F485,1,0),"")</f>
        <v/>
      </c>
      <c r="K485" s="2" t="n"/>
      <c r="L485" s="2" t="n"/>
      <c r="M485" s="2" t="n"/>
      <c r="N485" s="2">
        <f>IF(OR(K485="",H485=""),"",IF((K485="met")=(H485="met"),1,0))</f>
        <v/>
      </c>
      <c r="O485" s="2">
        <f>IF(OR(L485="",H485=""),"",IF((L485="met")=(H485="met"),1,0))</f>
        <v/>
      </c>
      <c r="P485" s="2">
        <f>IF(OR(M485="",H485=""),"",IF((M485="met")=(H485="met"),1,0))</f>
        <v/>
      </c>
    </row>
    <row r="486">
      <c r="A486" s="2" t="inlineStr">
        <is>
          <t>C16-08</t>
        </is>
      </c>
      <c r="B486" s="2">
        <f>Key!B486</f>
        <v/>
      </c>
      <c r="C486" s="2">
        <f>Key!C486</f>
        <v/>
      </c>
      <c r="D486" s="2">
        <f>IF(Key!D486="","",Key!D486)</f>
        <v/>
      </c>
      <c r="E486" s="2">
        <f>IF(Label_ChatGPT!F369="","",Label_ChatGPT!F369)</f>
        <v/>
      </c>
      <c r="F486" s="2">
        <f>IF(Label_ChatGPT!G369="","",Label_ChatGPT!G369)</f>
        <v/>
      </c>
      <c r="G486" s="5" t="n"/>
      <c r="H486" s="2">
        <f>IF(G486&lt;&gt;"",G486,IF(AND(E486&lt;&gt;"",E486=F486,E486&lt;&gt;"unsure"),E486,""))</f>
        <v/>
      </c>
      <c r="I486" s="2">
        <f>IF(AND(OR(E486="met",E486="not_met"),OR(F486="met",F486="not_met")),1,0)</f>
        <v/>
      </c>
      <c r="J486" s="2">
        <f>IF(I486=1,IF(E486=F486,1,0),"")</f>
        <v/>
      </c>
      <c r="K486" s="2" t="n"/>
      <c r="L486" s="2" t="n"/>
      <c r="M486" s="2" t="n"/>
      <c r="N486" s="2">
        <f>IF(OR(K486="",H486=""),"",IF((K486="met")=(H486="met"),1,0))</f>
        <v/>
      </c>
      <c r="O486" s="2">
        <f>IF(OR(L486="",H486=""),"",IF((L486="met")=(H486="met"),1,0))</f>
        <v/>
      </c>
      <c r="P486" s="2">
        <f>IF(OR(M486="",H486=""),"",IF((M486="met")=(H486="met"),1,0))</f>
        <v/>
      </c>
    </row>
    <row r="487">
      <c r="A487" s="2" t="inlineStr">
        <is>
          <t>C16-09</t>
        </is>
      </c>
      <c r="B487" s="2">
        <f>Key!B487</f>
        <v/>
      </c>
      <c r="C487" s="2">
        <f>Key!C487</f>
        <v/>
      </c>
      <c r="D487" s="2">
        <f>IF(Key!D487="","",Key!D487)</f>
        <v/>
      </c>
      <c r="E487" s="2">
        <f>IF(Label_ChatGPT!F370="","",Label_ChatGPT!F370)</f>
        <v/>
      </c>
      <c r="F487" s="2">
        <f>IF(Label_ChatGPT!G370="","",Label_ChatGPT!G370)</f>
        <v/>
      </c>
      <c r="G487" s="5" t="n"/>
      <c r="H487" s="2">
        <f>IF(G487&lt;&gt;"",G487,IF(AND(E487&lt;&gt;"",E487=F487,E487&lt;&gt;"unsure"),E487,""))</f>
        <v/>
      </c>
      <c r="I487" s="2">
        <f>IF(AND(OR(E487="met",E487="not_met"),OR(F487="met",F487="not_met")),1,0)</f>
        <v/>
      </c>
      <c r="J487" s="2">
        <f>IF(I487=1,IF(E487=F487,1,0),"")</f>
        <v/>
      </c>
      <c r="K487" s="2" t="n"/>
      <c r="L487" s="2" t="n"/>
      <c r="M487" s="2" t="n"/>
      <c r="N487" s="2">
        <f>IF(OR(K487="",H487=""),"",IF((K487="met")=(H487="met"),1,0))</f>
        <v/>
      </c>
      <c r="O487" s="2">
        <f>IF(OR(L487="",H487=""),"",IF((L487="met")=(H487="met"),1,0))</f>
        <v/>
      </c>
      <c r="P487" s="2">
        <f>IF(OR(M487="",H487=""),"",IF((M487="met")=(H487="met"),1,0))</f>
        <v/>
      </c>
    </row>
    <row r="488">
      <c r="A488" s="2" t="inlineStr">
        <is>
          <t>C16-10</t>
        </is>
      </c>
      <c r="B488" s="2">
        <f>Key!B488</f>
        <v/>
      </c>
      <c r="C488" s="2">
        <f>Key!C488</f>
        <v/>
      </c>
      <c r="D488" s="2">
        <f>IF(Key!D488="","",Key!D488)</f>
        <v/>
      </c>
      <c r="E488" s="2">
        <f>IF(Label_ChatGPT!F371="","",Label_ChatGPT!F371)</f>
        <v/>
      </c>
      <c r="F488" s="2">
        <f>IF(Label_ChatGPT!G371="","",Label_ChatGPT!G371)</f>
        <v/>
      </c>
      <c r="G488" s="5" t="n"/>
      <c r="H488" s="2">
        <f>IF(G488&lt;&gt;"",G488,IF(AND(E488&lt;&gt;"",E488=F488,E488&lt;&gt;"unsure"),E488,""))</f>
        <v/>
      </c>
      <c r="I488" s="2">
        <f>IF(AND(OR(E488="met",E488="not_met"),OR(F488="met",F488="not_met")),1,0)</f>
        <v/>
      </c>
      <c r="J488" s="2">
        <f>IF(I488=1,IF(E488=F488,1,0),"")</f>
        <v/>
      </c>
      <c r="K488" s="2" t="n"/>
      <c r="L488" s="2" t="n"/>
      <c r="M488" s="2" t="n"/>
      <c r="N488" s="2">
        <f>IF(OR(K488="",H488=""),"",IF((K488="met")=(H488="met"),1,0))</f>
        <v/>
      </c>
      <c r="O488" s="2">
        <f>IF(OR(L488="",H488=""),"",IF((L488="met")=(H488="met"),1,0))</f>
        <v/>
      </c>
      <c r="P488" s="2">
        <f>IF(OR(M488="",H488=""),"",IF((M488="met")=(H488="met"),1,0))</f>
        <v/>
      </c>
    </row>
    <row r="489">
      <c r="A489" s="2" t="inlineStr">
        <is>
          <t>C16-11</t>
        </is>
      </c>
      <c r="B489" s="2">
        <f>Key!B489</f>
        <v/>
      </c>
      <c r="C489" s="2">
        <f>Key!C489</f>
        <v/>
      </c>
      <c r="D489" s="2">
        <f>IF(Key!D489="","",Key!D489)</f>
        <v/>
      </c>
      <c r="E489" s="2">
        <f>IF(Label_ChatGPT!F372="","",Label_ChatGPT!F372)</f>
        <v/>
      </c>
      <c r="F489" s="2">
        <f>IF(Label_ChatGPT!G372="","",Label_ChatGPT!G372)</f>
        <v/>
      </c>
      <c r="G489" s="5" t="n"/>
      <c r="H489" s="2">
        <f>IF(G489&lt;&gt;"",G489,IF(AND(E489&lt;&gt;"",E489=F489,E489&lt;&gt;"unsure"),E489,""))</f>
        <v/>
      </c>
      <c r="I489" s="2">
        <f>IF(AND(OR(E489="met",E489="not_met"),OR(F489="met",F489="not_met")),1,0)</f>
        <v/>
      </c>
      <c r="J489" s="2">
        <f>IF(I489=1,IF(E489=F489,1,0),"")</f>
        <v/>
      </c>
      <c r="K489" s="2" t="n"/>
      <c r="L489" s="2" t="n"/>
      <c r="M489" s="2" t="n"/>
      <c r="N489" s="2">
        <f>IF(OR(K489="",H489=""),"",IF((K489="met")=(H489="met"),1,0))</f>
        <v/>
      </c>
      <c r="O489" s="2">
        <f>IF(OR(L489="",H489=""),"",IF((L489="met")=(H489="met"),1,0))</f>
        <v/>
      </c>
      <c r="P489" s="2">
        <f>IF(OR(M489="",H489=""),"",IF((M489="met")=(H489="met"),1,0))</f>
        <v/>
      </c>
    </row>
    <row r="490">
      <c r="A490" s="2" t="inlineStr">
        <is>
          <t>S001</t>
        </is>
      </c>
      <c r="B490" s="2">
        <f>Key!B490</f>
        <v/>
      </c>
      <c r="C490" s="2">
        <f>Key!C490</f>
        <v/>
      </c>
      <c r="D490" s="2">
        <f>IF(Key!D490="","",Key!D490)</f>
        <v/>
      </c>
      <c r="E490" s="2">
        <f>IF(Label_Standalone!C2="","",Label_Standalone!C2)</f>
        <v/>
      </c>
      <c r="F490" s="2">
        <f>IF(Label_Standalone!D2="","",Label_Standalone!D2)</f>
        <v/>
      </c>
      <c r="G490" s="5" t="n"/>
      <c r="H490" s="2">
        <f>IF(G490&lt;&gt;"",G490,IF(AND(E490&lt;&gt;"",E490=F490,E490&lt;&gt;"unsure"),E490,""))</f>
        <v/>
      </c>
      <c r="I490" s="2">
        <f>IF(AND(OR(E490="met",E490="not_met"),OR(F490="met",F490="not_met")),1,0)</f>
        <v/>
      </c>
      <c r="J490" s="2">
        <f>IF(I490=1,IF(E490=F490,1,0),"")</f>
        <v/>
      </c>
      <c r="K490" s="2" t="n"/>
      <c r="L490" s="2" t="n"/>
      <c r="M490" s="2" t="n"/>
      <c r="N490" s="2">
        <f>IF(OR(K490="",H490=""),"",IF((K490="met")=(H490="met"),1,0))</f>
        <v/>
      </c>
      <c r="O490" s="2">
        <f>IF(OR(L490="",H490=""),"",IF((L490="met")=(H490="met"),1,0))</f>
        <v/>
      </c>
      <c r="P490" s="2">
        <f>IF(OR(M490="",H490=""),"",IF((M490="met")=(H490="met"),1,0))</f>
        <v/>
      </c>
    </row>
    <row r="491">
      <c r="A491" s="2" t="inlineStr">
        <is>
          <t>S002</t>
        </is>
      </c>
      <c r="B491" s="2">
        <f>Key!B491</f>
        <v/>
      </c>
      <c r="C491" s="2">
        <f>Key!C491</f>
        <v/>
      </c>
      <c r="D491" s="2">
        <f>IF(Key!D491="","",Key!D491)</f>
        <v/>
      </c>
      <c r="E491" s="2">
        <f>IF(Label_Standalone!C3="","",Label_Standalone!C3)</f>
        <v/>
      </c>
      <c r="F491" s="2">
        <f>IF(Label_Standalone!D3="","",Label_Standalone!D3)</f>
        <v/>
      </c>
      <c r="G491" s="5" t="n"/>
      <c r="H491" s="2">
        <f>IF(G491&lt;&gt;"",G491,IF(AND(E491&lt;&gt;"",E491=F491,E491&lt;&gt;"unsure"),E491,""))</f>
        <v/>
      </c>
      <c r="I491" s="2">
        <f>IF(AND(OR(E491="met",E491="not_met"),OR(F491="met",F491="not_met")),1,0)</f>
        <v/>
      </c>
      <c r="J491" s="2">
        <f>IF(I491=1,IF(E491=F491,1,0),"")</f>
        <v/>
      </c>
      <c r="K491" s="2" t="n"/>
      <c r="L491" s="2" t="n"/>
      <c r="M491" s="2" t="n"/>
      <c r="N491" s="2">
        <f>IF(OR(K491="",H491=""),"",IF((K491="met")=(H491="met"),1,0))</f>
        <v/>
      </c>
      <c r="O491" s="2">
        <f>IF(OR(L491="",H491=""),"",IF((L491="met")=(H491="met"),1,0))</f>
        <v/>
      </c>
      <c r="P491" s="2">
        <f>IF(OR(M491="",H491=""),"",IF((M491="met")=(H491="met"),1,0))</f>
        <v/>
      </c>
    </row>
    <row r="492">
      <c r="A492" s="2" t="inlineStr">
        <is>
          <t>S003</t>
        </is>
      </c>
      <c r="B492" s="2">
        <f>Key!B492</f>
        <v/>
      </c>
      <c r="C492" s="2">
        <f>Key!C492</f>
        <v/>
      </c>
      <c r="D492" s="2">
        <f>IF(Key!D492="","",Key!D492)</f>
        <v/>
      </c>
      <c r="E492" s="2">
        <f>IF(Label_Standalone!C4="","",Label_Standalone!C4)</f>
        <v/>
      </c>
      <c r="F492" s="2">
        <f>IF(Label_Standalone!D4="","",Label_Standalone!D4)</f>
        <v/>
      </c>
      <c r="G492" s="5" t="n"/>
      <c r="H492" s="2">
        <f>IF(G492&lt;&gt;"",G492,IF(AND(E492&lt;&gt;"",E492=F492,E492&lt;&gt;"unsure"),E492,""))</f>
        <v/>
      </c>
      <c r="I492" s="2">
        <f>IF(AND(OR(E492="met",E492="not_met"),OR(F492="met",F492="not_met")),1,0)</f>
        <v/>
      </c>
      <c r="J492" s="2">
        <f>IF(I492=1,IF(E492=F492,1,0),"")</f>
        <v/>
      </c>
      <c r="K492" s="2" t="n"/>
      <c r="L492" s="2" t="n"/>
      <c r="M492" s="2" t="n"/>
      <c r="N492" s="2">
        <f>IF(OR(K492="",H492=""),"",IF((K492="met")=(H492="met"),1,0))</f>
        <v/>
      </c>
      <c r="O492" s="2">
        <f>IF(OR(L492="",H492=""),"",IF((L492="met")=(H492="met"),1,0))</f>
        <v/>
      </c>
      <c r="P492" s="2">
        <f>IF(OR(M492="",H492=""),"",IF((M492="met")=(H492="met"),1,0))</f>
        <v/>
      </c>
    </row>
    <row r="493">
      <c r="A493" s="2" t="inlineStr">
        <is>
          <t>S004</t>
        </is>
      </c>
      <c r="B493" s="2">
        <f>Key!B493</f>
        <v/>
      </c>
      <c r="C493" s="2">
        <f>Key!C493</f>
        <v/>
      </c>
      <c r="D493" s="2">
        <f>IF(Key!D493="","",Key!D493)</f>
        <v/>
      </c>
      <c r="E493" s="2">
        <f>IF(Label_Standalone!C5="","",Label_Standalone!C5)</f>
        <v/>
      </c>
      <c r="F493" s="2">
        <f>IF(Label_Standalone!D5="","",Label_Standalone!D5)</f>
        <v/>
      </c>
      <c r="G493" s="5" t="n"/>
      <c r="H493" s="2">
        <f>IF(G493&lt;&gt;"",G493,IF(AND(E493&lt;&gt;"",E493=F493,E493&lt;&gt;"unsure"),E493,""))</f>
        <v/>
      </c>
      <c r="I493" s="2">
        <f>IF(AND(OR(E493="met",E493="not_met"),OR(F493="met",F493="not_met")),1,0)</f>
        <v/>
      </c>
      <c r="J493" s="2">
        <f>IF(I493=1,IF(E493=F493,1,0),"")</f>
        <v/>
      </c>
      <c r="K493" s="2" t="n"/>
      <c r="L493" s="2" t="n"/>
      <c r="M493" s="2" t="n"/>
      <c r="N493" s="2">
        <f>IF(OR(K493="",H493=""),"",IF((K493="met")=(H493="met"),1,0))</f>
        <v/>
      </c>
      <c r="O493" s="2">
        <f>IF(OR(L493="",H493=""),"",IF((L493="met")=(H493="met"),1,0))</f>
        <v/>
      </c>
      <c r="P493" s="2">
        <f>IF(OR(M493="",H493=""),"",IF((M493="met")=(H493="met"),1,0))</f>
        <v/>
      </c>
    </row>
    <row r="494">
      <c r="A494" s="2" t="inlineStr">
        <is>
          <t>S005</t>
        </is>
      </c>
      <c r="B494" s="2">
        <f>Key!B494</f>
        <v/>
      </c>
      <c r="C494" s="2">
        <f>Key!C494</f>
        <v/>
      </c>
      <c r="D494" s="2">
        <f>IF(Key!D494="","",Key!D494)</f>
        <v/>
      </c>
      <c r="E494" s="2">
        <f>IF(Label_Standalone!C6="","",Label_Standalone!C6)</f>
        <v/>
      </c>
      <c r="F494" s="2">
        <f>IF(Label_Standalone!D6="","",Label_Standalone!D6)</f>
        <v/>
      </c>
      <c r="G494" s="5" t="n"/>
      <c r="H494" s="2">
        <f>IF(G494&lt;&gt;"",G494,IF(AND(E494&lt;&gt;"",E494=F494,E494&lt;&gt;"unsure"),E494,""))</f>
        <v/>
      </c>
      <c r="I494" s="2">
        <f>IF(AND(OR(E494="met",E494="not_met"),OR(F494="met",F494="not_met")),1,0)</f>
        <v/>
      </c>
      <c r="J494" s="2">
        <f>IF(I494=1,IF(E494=F494,1,0),"")</f>
        <v/>
      </c>
      <c r="K494" s="2" t="n"/>
      <c r="L494" s="2" t="n"/>
      <c r="M494" s="2" t="n"/>
      <c r="N494" s="2">
        <f>IF(OR(K494="",H494=""),"",IF((K494="met")=(H494="met"),1,0))</f>
        <v/>
      </c>
      <c r="O494" s="2">
        <f>IF(OR(L494="",H494=""),"",IF((L494="met")=(H494="met"),1,0))</f>
        <v/>
      </c>
      <c r="P494" s="2">
        <f>IF(OR(M494="",H494=""),"",IF((M494="met")=(H494="met"),1,0))</f>
        <v/>
      </c>
    </row>
    <row r="495">
      <c r="A495" s="2" t="inlineStr">
        <is>
          <t>S006</t>
        </is>
      </c>
      <c r="B495" s="2">
        <f>Key!B495</f>
        <v/>
      </c>
      <c r="C495" s="2">
        <f>Key!C495</f>
        <v/>
      </c>
      <c r="D495" s="2">
        <f>IF(Key!D495="","",Key!D495)</f>
        <v/>
      </c>
      <c r="E495" s="2">
        <f>IF(Label_Standalone!C7="","",Label_Standalone!C7)</f>
        <v/>
      </c>
      <c r="F495" s="2">
        <f>IF(Label_Standalone!D7="","",Label_Standalone!D7)</f>
        <v/>
      </c>
      <c r="G495" s="5" t="n"/>
      <c r="H495" s="2">
        <f>IF(G495&lt;&gt;"",G495,IF(AND(E495&lt;&gt;"",E495=F495,E495&lt;&gt;"unsure"),E495,""))</f>
        <v/>
      </c>
      <c r="I495" s="2">
        <f>IF(AND(OR(E495="met",E495="not_met"),OR(F495="met",F495="not_met")),1,0)</f>
        <v/>
      </c>
      <c r="J495" s="2">
        <f>IF(I495=1,IF(E495=F495,1,0),"")</f>
        <v/>
      </c>
      <c r="K495" s="2" t="n"/>
      <c r="L495" s="2" t="n"/>
      <c r="M495" s="2" t="n"/>
      <c r="N495" s="2">
        <f>IF(OR(K495="",H495=""),"",IF((K495="met")=(H495="met"),1,0))</f>
        <v/>
      </c>
      <c r="O495" s="2">
        <f>IF(OR(L495="",H495=""),"",IF((L495="met")=(H495="met"),1,0))</f>
        <v/>
      </c>
      <c r="P495" s="2">
        <f>IF(OR(M495="",H495=""),"",IF((M495="met")=(H495="met"),1,0))</f>
        <v/>
      </c>
    </row>
    <row r="496">
      <c r="A496" s="2" t="inlineStr">
        <is>
          <t>S007</t>
        </is>
      </c>
      <c r="B496" s="2">
        <f>Key!B496</f>
        <v/>
      </c>
      <c r="C496" s="2">
        <f>Key!C496</f>
        <v/>
      </c>
      <c r="D496" s="2">
        <f>IF(Key!D496="","",Key!D496)</f>
        <v/>
      </c>
      <c r="E496" s="2">
        <f>IF(Label_Standalone!C8="","",Label_Standalone!C8)</f>
        <v/>
      </c>
      <c r="F496" s="2">
        <f>IF(Label_Standalone!D8="","",Label_Standalone!D8)</f>
        <v/>
      </c>
      <c r="G496" s="5" t="n"/>
      <c r="H496" s="2">
        <f>IF(G496&lt;&gt;"",G496,IF(AND(E496&lt;&gt;"",E496=F496,E496&lt;&gt;"unsure"),E496,""))</f>
        <v/>
      </c>
      <c r="I496" s="2">
        <f>IF(AND(OR(E496="met",E496="not_met"),OR(F496="met",F496="not_met")),1,0)</f>
        <v/>
      </c>
      <c r="J496" s="2">
        <f>IF(I496=1,IF(E496=F496,1,0),"")</f>
        <v/>
      </c>
      <c r="K496" s="2" t="n"/>
      <c r="L496" s="2" t="n"/>
      <c r="M496" s="2" t="n"/>
      <c r="N496" s="2">
        <f>IF(OR(K496="",H496=""),"",IF((K496="met")=(H496="met"),1,0))</f>
        <v/>
      </c>
      <c r="O496" s="2">
        <f>IF(OR(L496="",H496=""),"",IF((L496="met")=(H496="met"),1,0))</f>
        <v/>
      </c>
      <c r="P496" s="2">
        <f>IF(OR(M496="",H496=""),"",IF((M496="met")=(H496="met"),1,0))</f>
        <v/>
      </c>
    </row>
    <row r="497">
      <c r="A497" s="2" t="inlineStr">
        <is>
          <t>S008</t>
        </is>
      </c>
      <c r="B497" s="2">
        <f>Key!B497</f>
        <v/>
      </c>
      <c r="C497" s="2">
        <f>Key!C497</f>
        <v/>
      </c>
      <c r="D497" s="2">
        <f>IF(Key!D497="","",Key!D497)</f>
        <v/>
      </c>
      <c r="E497" s="2">
        <f>IF(Label_Standalone!C9="","",Label_Standalone!C9)</f>
        <v/>
      </c>
      <c r="F497" s="2">
        <f>IF(Label_Standalone!D9="","",Label_Standalone!D9)</f>
        <v/>
      </c>
      <c r="G497" s="5" t="n"/>
      <c r="H497" s="2">
        <f>IF(G497&lt;&gt;"",G497,IF(AND(E497&lt;&gt;"",E497=F497,E497&lt;&gt;"unsure"),E497,""))</f>
        <v/>
      </c>
      <c r="I497" s="2">
        <f>IF(AND(OR(E497="met",E497="not_met"),OR(F497="met",F497="not_met")),1,0)</f>
        <v/>
      </c>
      <c r="J497" s="2">
        <f>IF(I497=1,IF(E497=F497,1,0),"")</f>
        <v/>
      </c>
      <c r="K497" s="2" t="n"/>
      <c r="L497" s="2" t="n"/>
      <c r="M497" s="2" t="n"/>
      <c r="N497" s="2">
        <f>IF(OR(K497="",H497=""),"",IF((K497="met")=(H497="met"),1,0))</f>
        <v/>
      </c>
      <c r="O497" s="2">
        <f>IF(OR(L497="",H497=""),"",IF((L497="met")=(H497="met"),1,0))</f>
        <v/>
      </c>
      <c r="P497" s="2">
        <f>IF(OR(M497="",H497=""),"",IF((M497="met")=(H497="met"),1,0))</f>
        <v/>
      </c>
    </row>
    <row r="498">
      <c r="A498" s="2" t="inlineStr">
        <is>
          <t>S009</t>
        </is>
      </c>
      <c r="B498" s="2">
        <f>Key!B498</f>
        <v/>
      </c>
      <c r="C498" s="2">
        <f>Key!C498</f>
        <v/>
      </c>
      <c r="D498" s="2">
        <f>IF(Key!D498="","",Key!D498)</f>
        <v/>
      </c>
      <c r="E498" s="2">
        <f>IF(Label_Standalone!C10="","",Label_Standalone!C10)</f>
        <v/>
      </c>
      <c r="F498" s="2">
        <f>IF(Label_Standalone!D10="","",Label_Standalone!D10)</f>
        <v/>
      </c>
      <c r="G498" s="5" t="n"/>
      <c r="H498" s="2">
        <f>IF(G498&lt;&gt;"",G498,IF(AND(E498&lt;&gt;"",E498=F498,E498&lt;&gt;"unsure"),E498,""))</f>
        <v/>
      </c>
      <c r="I498" s="2">
        <f>IF(AND(OR(E498="met",E498="not_met"),OR(F498="met",F498="not_met")),1,0)</f>
        <v/>
      </c>
      <c r="J498" s="2">
        <f>IF(I498=1,IF(E498=F498,1,0),"")</f>
        <v/>
      </c>
      <c r="K498" s="2" t="n"/>
      <c r="L498" s="2" t="n"/>
      <c r="M498" s="2" t="n"/>
      <c r="N498" s="2">
        <f>IF(OR(K498="",H498=""),"",IF((K498="met")=(H498="met"),1,0))</f>
        <v/>
      </c>
      <c r="O498" s="2">
        <f>IF(OR(L498="",H498=""),"",IF((L498="met")=(H498="met"),1,0))</f>
        <v/>
      </c>
      <c r="P498" s="2">
        <f>IF(OR(M498="",H498=""),"",IF((M498="met")=(H498="met"),1,0))</f>
        <v/>
      </c>
    </row>
    <row r="499">
      <c r="A499" s="2" t="inlineStr">
        <is>
          <t>S010</t>
        </is>
      </c>
      <c r="B499" s="2">
        <f>Key!B499</f>
        <v/>
      </c>
      <c r="C499" s="2">
        <f>Key!C499</f>
        <v/>
      </c>
      <c r="D499" s="2">
        <f>IF(Key!D499="","",Key!D499)</f>
        <v/>
      </c>
      <c r="E499" s="2">
        <f>IF(Label_Standalone!C11="","",Label_Standalone!C11)</f>
        <v/>
      </c>
      <c r="F499" s="2">
        <f>IF(Label_Standalone!D11="","",Label_Standalone!D11)</f>
        <v/>
      </c>
      <c r="G499" s="5" t="n"/>
      <c r="H499" s="2">
        <f>IF(G499&lt;&gt;"",G499,IF(AND(E499&lt;&gt;"",E499=F499,E499&lt;&gt;"unsure"),E499,""))</f>
        <v/>
      </c>
      <c r="I499" s="2">
        <f>IF(AND(OR(E499="met",E499="not_met"),OR(F499="met",F499="not_met")),1,0)</f>
        <v/>
      </c>
      <c r="J499" s="2">
        <f>IF(I499=1,IF(E499=F499,1,0),"")</f>
        <v/>
      </c>
      <c r="K499" s="2" t="n"/>
      <c r="L499" s="2" t="n"/>
      <c r="M499" s="2" t="n"/>
      <c r="N499" s="2">
        <f>IF(OR(K499="",H499=""),"",IF((K499="met")=(H499="met"),1,0))</f>
        <v/>
      </c>
      <c r="O499" s="2">
        <f>IF(OR(L499="",H499=""),"",IF((L499="met")=(H499="met"),1,0))</f>
        <v/>
      </c>
      <c r="P499" s="2">
        <f>IF(OR(M499="",H499=""),"",IF((M499="met")=(H499="met"),1,0))</f>
        <v/>
      </c>
    </row>
    <row r="500">
      <c r="A500" s="2" t="inlineStr">
        <is>
          <t>S011</t>
        </is>
      </c>
      <c r="B500" s="2">
        <f>Key!B500</f>
        <v/>
      </c>
      <c r="C500" s="2">
        <f>Key!C500</f>
        <v/>
      </c>
      <c r="D500" s="2">
        <f>IF(Key!D500="","",Key!D500)</f>
        <v/>
      </c>
      <c r="E500" s="2">
        <f>IF(Label_Standalone!C12="","",Label_Standalone!C12)</f>
        <v/>
      </c>
      <c r="F500" s="2">
        <f>IF(Label_Standalone!D12="","",Label_Standalone!D12)</f>
        <v/>
      </c>
      <c r="G500" s="5" t="n"/>
      <c r="H500" s="2">
        <f>IF(G500&lt;&gt;"",G500,IF(AND(E500&lt;&gt;"",E500=F500,E500&lt;&gt;"unsure"),E500,""))</f>
        <v/>
      </c>
      <c r="I500" s="2">
        <f>IF(AND(OR(E500="met",E500="not_met"),OR(F500="met",F500="not_met")),1,0)</f>
        <v/>
      </c>
      <c r="J500" s="2">
        <f>IF(I500=1,IF(E500=F500,1,0),"")</f>
        <v/>
      </c>
      <c r="K500" s="2" t="n"/>
      <c r="L500" s="2" t="n"/>
      <c r="M500" s="2" t="n"/>
      <c r="N500" s="2">
        <f>IF(OR(K500="",H500=""),"",IF((K500="met")=(H500="met"),1,0))</f>
        <v/>
      </c>
      <c r="O500" s="2">
        <f>IF(OR(L500="",H500=""),"",IF((L500="met")=(H500="met"),1,0))</f>
        <v/>
      </c>
      <c r="P500" s="2">
        <f>IF(OR(M500="",H500=""),"",IF((M500="met")=(H500="met"),1,0))</f>
        <v/>
      </c>
    </row>
    <row r="501">
      <c r="A501" s="2" t="inlineStr">
        <is>
          <t>S012</t>
        </is>
      </c>
      <c r="B501" s="2">
        <f>Key!B501</f>
        <v/>
      </c>
      <c r="C501" s="2">
        <f>Key!C501</f>
        <v/>
      </c>
      <c r="D501" s="2">
        <f>IF(Key!D501="","",Key!D501)</f>
        <v/>
      </c>
      <c r="E501" s="2">
        <f>IF(Label_Standalone!C13="","",Label_Standalone!C13)</f>
        <v/>
      </c>
      <c r="F501" s="2">
        <f>IF(Label_Standalone!D13="","",Label_Standalone!D13)</f>
        <v/>
      </c>
      <c r="G501" s="5" t="n"/>
      <c r="H501" s="2">
        <f>IF(G501&lt;&gt;"",G501,IF(AND(E501&lt;&gt;"",E501=F501,E501&lt;&gt;"unsure"),E501,""))</f>
        <v/>
      </c>
      <c r="I501" s="2">
        <f>IF(AND(OR(E501="met",E501="not_met"),OR(F501="met",F501="not_met")),1,0)</f>
        <v/>
      </c>
      <c r="J501" s="2">
        <f>IF(I501=1,IF(E501=F501,1,0),"")</f>
        <v/>
      </c>
      <c r="K501" s="2" t="n"/>
      <c r="L501" s="2" t="n"/>
      <c r="M501" s="2" t="n"/>
      <c r="N501" s="2">
        <f>IF(OR(K501="",H501=""),"",IF((K501="met")=(H501="met"),1,0))</f>
        <v/>
      </c>
      <c r="O501" s="2">
        <f>IF(OR(L501="",H501=""),"",IF((L501="met")=(H501="met"),1,0))</f>
        <v/>
      </c>
      <c r="P501" s="2">
        <f>IF(OR(M501="",H501=""),"",IF((M501="met")=(H501="met"),1,0))</f>
        <v/>
      </c>
    </row>
    <row r="502">
      <c r="A502" s="2" t="inlineStr">
        <is>
          <t>S013</t>
        </is>
      </c>
      <c r="B502" s="2">
        <f>Key!B502</f>
        <v/>
      </c>
      <c r="C502" s="2">
        <f>Key!C502</f>
        <v/>
      </c>
      <c r="D502" s="2">
        <f>IF(Key!D502="","",Key!D502)</f>
        <v/>
      </c>
      <c r="E502" s="2">
        <f>IF(Label_Standalone!C14="","",Label_Standalone!C14)</f>
        <v/>
      </c>
      <c r="F502" s="2">
        <f>IF(Label_Standalone!D14="","",Label_Standalone!D14)</f>
        <v/>
      </c>
      <c r="G502" s="5" t="n"/>
      <c r="H502" s="2">
        <f>IF(G502&lt;&gt;"",G502,IF(AND(E502&lt;&gt;"",E502=F502,E502&lt;&gt;"unsure"),E502,""))</f>
        <v/>
      </c>
      <c r="I502" s="2">
        <f>IF(AND(OR(E502="met",E502="not_met"),OR(F502="met",F502="not_met")),1,0)</f>
        <v/>
      </c>
      <c r="J502" s="2">
        <f>IF(I502=1,IF(E502=F502,1,0),"")</f>
        <v/>
      </c>
      <c r="K502" s="2" t="n"/>
      <c r="L502" s="2" t="n"/>
      <c r="M502" s="2" t="n"/>
      <c r="N502" s="2">
        <f>IF(OR(K502="",H502=""),"",IF((K502="met")=(H502="met"),1,0))</f>
        <v/>
      </c>
      <c r="O502" s="2">
        <f>IF(OR(L502="",H502=""),"",IF((L502="met")=(H502="met"),1,0))</f>
        <v/>
      </c>
      <c r="P502" s="2">
        <f>IF(OR(M502="",H502=""),"",IF((M502="met")=(H502="met"),1,0))</f>
        <v/>
      </c>
    </row>
    <row r="503">
      <c r="A503" s="2" t="inlineStr">
        <is>
          <t>S014</t>
        </is>
      </c>
      <c r="B503" s="2">
        <f>Key!B503</f>
        <v/>
      </c>
      <c r="C503" s="2">
        <f>Key!C503</f>
        <v/>
      </c>
      <c r="D503" s="2">
        <f>IF(Key!D503="","",Key!D503)</f>
        <v/>
      </c>
      <c r="E503" s="2">
        <f>IF(Label_Standalone!C15="","",Label_Standalone!C15)</f>
        <v/>
      </c>
      <c r="F503" s="2">
        <f>IF(Label_Standalone!D15="","",Label_Standalone!D15)</f>
        <v/>
      </c>
      <c r="G503" s="5" t="n"/>
      <c r="H503" s="2">
        <f>IF(G503&lt;&gt;"",G503,IF(AND(E503&lt;&gt;"",E503=F503,E503&lt;&gt;"unsure"),E503,""))</f>
        <v/>
      </c>
      <c r="I503" s="2">
        <f>IF(AND(OR(E503="met",E503="not_met"),OR(F503="met",F503="not_met")),1,0)</f>
        <v/>
      </c>
      <c r="J503" s="2">
        <f>IF(I503=1,IF(E503=F503,1,0),"")</f>
        <v/>
      </c>
      <c r="K503" s="2" t="n"/>
      <c r="L503" s="2" t="n"/>
      <c r="M503" s="2" t="n"/>
      <c r="N503" s="2">
        <f>IF(OR(K503="",H503=""),"",IF((K503="met")=(H503="met"),1,0))</f>
        <v/>
      </c>
      <c r="O503" s="2">
        <f>IF(OR(L503="",H503=""),"",IF((L503="met")=(H503="met"),1,0))</f>
        <v/>
      </c>
      <c r="P503" s="2">
        <f>IF(OR(M503="",H503=""),"",IF((M503="met")=(H503="met"),1,0))</f>
        <v/>
      </c>
    </row>
    <row r="504">
      <c r="A504" s="2" t="inlineStr">
        <is>
          <t>S015</t>
        </is>
      </c>
      <c r="B504" s="2">
        <f>Key!B504</f>
        <v/>
      </c>
      <c r="C504" s="2">
        <f>Key!C504</f>
        <v/>
      </c>
      <c r="D504" s="2">
        <f>IF(Key!D504="","",Key!D504)</f>
        <v/>
      </c>
      <c r="E504" s="2">
        <f>IF(Label_Standalone!C16="","",Label_Standalone!C16)</f>
        <v/>
      </c>
      <c r="F504" s="2">
        <f>IF(Label_Standalone!D16="","",Label_Standalone!D16)</f>
        <v/>
      </c>
      <c r="G504" s="5" t="n"/>
      <c r="H504" s="2">
        <f>IF(G504&lt;&gt;"",G504,IF(AND(E504&lt;&gt;"",E504=F504,E504&lt;&gt;"unsure"),E504,""))</f>
        <v/>
      </c>
      <c r="I504" s="2">
        <f>IF(AND(OR(E504="met",E504="not_met"),OR(F504="met",F504="not_met")),1,0)</f>
        <v/>
      </c>
      <c r="J504" s="2">
        <f>IF(I504=1,IF(E504=F504,1,0),"")</f>
        <v/>
      </c>
      <c r="K504" s="2" t="n"/>
      <c r="L504" s="2" t="n"/>
      <c r="M504" s="2" t="n"/>
      <c r="N504" s="2">
        <f>IF(OR(K504="",H504=""),"",IF((K504="met")=(H504="met"),1,0))</f>
        <v/>
      </c>
      <c r="O504" s="2">
        <f>IF(OR(L504="",H504=""),"",IF((L504="met")=(H504="met"),1,0))</f>
        <v/>
      </c>
      <c r="P504" s="2">
        <f>IF(OR(M504="",H504=""),"",IF((M504="met")=(H504="met"),1,0))</f>
        <v/>
      </c>
    </row>
    <row r="505">
      <c r="A505" s="2" t="inlineStr">
        <is>
          <t>S016</t>
        </is>
      </c>
      <c r="B505" s="2">
        <f>Key!B505</f>
        <v/>
      </c>
      <c r="C505" s="2">
        <f>Key!C505</f>
        <v/>
      </c>
      <c r="D505" s="2">
        <f>IF(Key!D505="","",Key!D505)</f>
        <v/>
      </c>
      <c r="E505" s="2">
        <f>IF(Label_Standalone!C17="","",Label_Standalone!C17)</f>
        <v/>
      </c>
      <c r="F505" s="2">
        <f>IF(Label_Standalone!D17="","",Label_Standalone!D17)</f>
        <v/>
      </c>
      <c r="G505" s="5" t="n"/>
      <c r="H505" s="2">
        <f>IF(G505&lt;&gt;"",G505,IF(AND(E505&lt;&gt;"",E505=F505,E505&lt;&gt;"unsure"),E505,""))</f>
        <v/>
      </c>
      <c r="I505" s="2">
        <f>IF(AND(OR(E505="met",E505="not_met"),OR(F505="met",F505="not_met")),1,0)</f>
        <v/>
      </c>
      <c r="J505" s="2">
        <f>IF(I505=1,IF(E505=F505,1,0),"")</f>
        <v/>
      </c>
      <c r="K505" s="2" t="n"/>
      <c r="L505" s="2" t="n"/>
      <c r="M505" s="2" t="n"/>
      <c r="N505" s="2">
        <f>IF(OR(K505="",H505=""),"",IF((K505="met")=(H505="met"),1,0))</f>
        <v/>
      </c>
      <c r="O505" s="2">
        <f>IF(OR(L505="",H505=""),"",IF((L505="met")=(H505="met"),1,0))</f>
        <v/>
      </c>
      <c r="P505" s="2">
        <f>IF(OR(M505="",H505=""),"",IF((M505="met")=(H505="met"),1,0))</f>
        <v/>
      </c>
    </row>
    <row r="506">
      <c r="A506" s="2" t="inlineStr">
        <is>
          <t>S017</t>
        </is>
      </c>
      <c r="B506" s="2">
        <f>Key!B506</f>
        <v/>
      </c>
      <c r="C506" s="2">
        <f>Key!C506</f>
        <v/>
      </c>
      <c r="D506" s="2">
        <f>IF(Key!D506="","",Key!D506)</f>
        <v/>
      </c>
      <c r="E506" s="2">
        <f>IF(Label_Standalone!C18="","",Label_Standalone!C18)</f>
        <v/>
      </c>
      <c r="F506" s="2">
        <f>IF(Label_Standalone!D18="","",Label_Standalone!D18)</f>
        <v/>
      </c>
      <c r="G506" s="5" t="n"/>
      <c r="H506" s="2">
        <f>IF(G506&lt;&gt;"",G506,IF(AND(E506&lt;&gt;"",E506=F506,E506&lt;&gt;"unsure"),E506,""))</f>
        <v/>
      </c>
      <c r="I506" s="2">
        <f>IF(AND(OR(E506="met",E506="not_met"),OR(F506="met",F506="not_met")),1,0)</f>
        <v/>
      </c>
      <c r="J506" s="2">
        <f>IF(I506=1,IF(E506=F506,1,0),"")</f>
        <v/>
      </c>
      <c r="K506" s="2" t="n"/>
      <c r="L506" s="2" t="n"/>
      <c r="M506" s="2" t="n"/>
      <c r="N506" s="2">
        <f>IF(OR(K506="",H506=""),"",IF((K506="met")=(H506="met"),1,0))</f>
        <v/>
      </c>
      <c r="O506" s="2">
        <f>IF(OR(L506="",H506=""),"",IF((L506="met")=(H506="met"),1,0))</f>
        <v/>
      </c>
      <c r="P506" s="2">
        <f>IF(OR(M506="",H506=""),"",IF((M506="met")=(H506="met"),1,0))</f>
        <v/>
      </c>
    </row>
    <row r="507">
      <c r="A507" s="2" t="inlineStr">
        <is>
          <t>S018</t>
        </is>
      </c>
      <c r="B507" s="2">
        <f>Key!B507</f>
        <v/>
      </c>
      <c r="C507" s="2">
        <f>Key!C507</f>
        <v/>
      </c>
      <c r="D507" s="2">
        <f>IF(Key!D507="","",Key!D507)</f>
        <v/>
      </c>
      <c r="E507" s="2">
        <f>IF(Label_Standalone!C19="","",Label_Standalone!C19)</f>
        <v/>
      </c>
      <c r="F507" s="2">
        <f>IF(Label_Standalone!D19="","",Label_Standalone!D19)</f>
        <v/>
      </c>
      <c r="G507" s="5" t="n"/>
      <c r="H507" s="2">
        <f>IF(G507&lt;&gt;"",G507,IF(AND(E507&lt;&gt;"",E507=F507,E507&lt;&gt;"unsure"),E507,""))</f>
        <v/>
      </c>
      <c r="I507" s="2">
        <f>IF(AND(OR(E507="met",E507="not_met"),OR(F507="met",F507="not_met")),1,0)</f>
        <v/>
      </c>
      <c r="J507" s="2">
        <f>IF(I507=1,IF(E507=F507,1,0),"")</f>
        <v/>
      </c>
      <c r="K507" s="2" t="n"/>
      <c r="L507" s="2" t="n"/>
      <c r="M507" s="2" t="n"/>
      <c r="N507" s="2">
        <f>IF(OR(K507="",H507=""),"",IF((K507="met")=(H507="met"),1,0))</f>
        <v/>
      </c>
      <c r="O507" s="2">
        <f>IF(OR(L507="",H507=""),"",IF((L507="met")=(H507="met"),1,0))</f>
        <v/>
      </c>
      <c r="P507" s="2">
        <f>IF(OR(M507="",H507=""),"",IF((M507="met")=(H507="met"),1,0))</f>
        <v/>
      </c>
    </row>
    <row r="508">
      <c r="A508" s="2" t="inlineStr">
        <is>
          <t>S019</t>
        </is>
      </c>
      <c r="B508" s="2">
        <f>Key!B508</f>
        <v/>
      </c>
      <c r="C508" s="2">
        <f>Key!C508</f>
        <v/>
      </c>
      <c r="D508" s="2">
        <f>IF(Key!D508="","",Key!D508)</f>
        <v/>
      </c>
      <c r="E508" s="2">
        <f>IF(Label_Standalone!C20="","",Label_Standalone!C20)</f>
        <v/>
      </c>
      <c r="F508" s="2">
        <f>IF(Label_Standalone!D20="","",Label_Standalone!D20)</f>
        <v/>
      </c>
      <c r="G508" s="5" t="n"/>
      <c r="H508" s="2">
        <f>IF(G508&lt;&gt;"",G508,IF(AND(E508&lt;&gt;"",E508=F508,E508&lt;&gt;"unsure"),E508,""))</f>
        <v/>
      </c>
      <c r="I508" s="2">
        <f>IF(AND(OR(E508="met",E508="not_met"),OR(F508="met",F508="not_met")),1,0)</f>
        <v/>
      </c>
      <c r="J508" s="2">
        <f>IF(I508=1,IF(E508=F508,1,0),"")</f>
        <v/>
      </c>
      <c r="K508" s="2" t="n"/>
      <c r="L508" s="2" t="n"/>
      <c r="M508" s="2" t="n"/>
      <c r="N508" s="2">
        <f>IF(OR(K508="",H508=""),"",IF((K508="met")=(H508="met"),1,0))</f>
        <v/>
      </c>
      <c r="O508" s="2">
        <f>IF(OR(L508="",H508=""),"",IF((L508="met")=(H508="met"),1,0))</f>
        <v/>
      </c>
      <c r="P508" s="2">
        <f>IF(OR(M508="",H508=""),"",IF((M508="met")=(H508="met"),1,0))</f>
        <v/>
      </c>
    </row>
    <row r="509">
      <c r="A509" s="2" t="inlineStr">
        <is>
          <t>S020</t>
        </is>
      </c>
      <c r="B509" s="2">
        <f>Key!B509</f>
        <v/>
      </c>
      <c r="C509" s="2">
        <f>Key!C509</f>
        <v/>
      </c>
      <c r="D509" s="2">
        <f>IF(Key!D509="","",Key!D509)</f>
        <v/>
      </c>
      <c r="E509" s="2">
        <f>IF(Label_Standalone!C21="","",Label_Standalone!C21)</f>
        <v/>
      </c>
      <c r="F509" s="2">
        <f>IF(Label_Standalone!D21="","",Label_Standalone!D21)</f>
        <v/>
      </c>
      <c r="G509" s="5" t="n"/>
      <c r="H509" s="2">
        <f>IF(G509&lt;&gt;"",G509,IF(AND(E509&lt;&gt;"",E509=F509,E509&lt;&gt;"unsure"),E509,""))</f>
        <v/>
      </c>
      <c r="I509" s="2">
        <f>IF(AND(OR(E509="met",E509="not_met"),OR(F509="met",F509="not_met")),1,0)</f>
        <v/>
      </c>
      <c r="J509" s="2">
        <f>IF(I509=1,IF(E509=F509,1,0),"")</f>
        <v/>
      </c>
      <c r="K509" s="2" t="n"/>
      <c r="L509" s="2" t="n"/>
      <c r="M509" s="2" t="n"/>
      <c r="N509" s="2">
        <f>IF(OR(K509="",H509=""),"",IF((K509="met")=(H509="met"),1,0))</f>
        <v/>
      </c>
      <c r="O509" s="2">
        <f>IF(OR(L509="",H509=""),"",IF((L509="met")=(H509="met"),1,0))</f>
        <v/>
      </c>
      <c r="P509" s="2">
        <f>IF(OR(M509="",H509=""),"",IF((M509="met")=(H509="met"),1,0))</f>
        <v/>
      </c>
    </row>
    <row r="510">
      <c r="A510" s="2" t="inlineStr">
        <is>
          <t>S021</t>
        </is>
      </c>
      <c r="B510" s="2">
        <f>Key!B510</f>
        <v/>
      </c>
      <c r="C510" s="2">
        <f>Key!C510</f>
        <v/>
      </c>
      <c r="D510" s="2">
        <f>IF(Key!D510="","",Key!D510)</f>
        <v/>
      </c>
      <c r="E510" s="2">
        <f>IF(Label_Standalone!C22="","",Label_Standalone!C22)</f>
        <v/>
      </c>
      <c r="F510" s="2">
        <f>IF(Label_Standalone!D22="","",Label_Standalone!D22)</f>
        <v/>
      </c>
      <c r="G510" s="5" t="n"/>
      <c r="H510" s="2">
        <f>IF(G510&lt;&gt;"",G510,IF(AND(E510&lt;&gt;"",E510=F510,E510&lt;&gt;"unsure"),E510,""))</f>
        <v/>
      </c>
      <c r="I510" s="2">
        <f>IF(AND(OR(E510="met",E510="not_met"),OR(F510="met",F510="not_met")),1,0)</f>
        <v/>
      </c>
      <c r="J510" s="2">
        <f>IF(I510=1,IF(E510=F510,1,0),"")</f>
        <v/>
      </c>
      <c r="K510" s="2" t="n"/>
      <c r="L510" s="2" t="n"/>
      <c r="M510" s="2" t="n"/>
      <c r="N510" s="2">
        <f>IF(OR(K510="",H510=""),"",IF((K510="met")=(H510="met"),1,0))</f>
        <v/>
      </c>
      <c r="O510" s="2">
        <f>IF(OR(L510="",H510=""),"",IF((L510="met")=(H510="met"),1,0))</f>
        <v/>
      </c>
      <c r="P510" s="2">
        <f>IF(OR(M510="",H510=""),"",IF((M510="met")=(H510="met"),1,0))</f>
        <v/>
      </c>
    </row>
    <row r="511">
      <c r="A511" s="2" t="inlineStr">
        <is>
          <t>S022</t>
        </is>
      </c>
      <c r="B511" s="2">
        <f>Key!B511</f>
        <v/>
      </c>
      <c r="C511" s="2">
        <f>Key!C511</f>
        <v/>
      </c>
      <c r="D511" s="2">
        <f>IF(Key!D511="","",Key!D511)</f>
        <v/>
      </c>
      <c r="E511" s="2">
        <f>IF(Label_Standalone!C23="","",Label_Standalone!C23)</f>
        <v/>
      </c>
      <c r="F511" s="2">
        <f>IF(Label_Standalone!D23="","",Label_Standalone!D23)</f>
        <v/>
      </c>
      <c r="G511" s="5" t="n"/>
      <c r="H511" s="2">
        <f>IF(G511&lt;&gt;"",G511,IF(AND(E511&lt;&gt;"",E511=F511,E511&lt;&gt;"unsure"),E511,""))</f>
        <v/>
      </c>
      <c r="I511" s="2">
        <f>IF(AND(OR(E511="met",E511="not_met"),OR(F511="met",F511="not_met")),1,0)</f>
        <v/>
      </c>
      <c r="J511" s="2">
        <f>IF(I511=1,IF(E511=F511,1,0),"")</f>
        <v/>
      </c>
      <c r="K511" s="2" t="n"/>
      <c r="L511" s="2" t="n"/>
      <c r="M511" s="2" t="n"/>
      <c r="N511" s="2">
        <f>IF(OR(K511="",H511=""),"",IF((K511="met")=(H511="met"),1,0))</f>
        <v/>
      </c>
      <c r="O511" s="2">
        <f>IF(OR(L511="",H511=""),"",IF((L511="met")=(H511="met"),1,0))</f>
        <v/>
      </c>
      <c r="P511" s="2">
        <f>IF(OR(M511="",H511=""),"",IF((M511="met")=(H511="met"),1,0))</f>
        <v/>
      </c>
    </row>
    <row r="512">
      <c r="A512" s="2" t="inlineStr">
        <is>
          <t>S023</t>
        </is>
      </c>
      <c r="B512" s="2">
        <f>Key!B512</f>
        <v/>
      </c>
      <c r="C512" s="2">
        <f>Key!C512</f>
        <v/>
      </c>
      <c r="D512" s="2">
        <f>IF(Key!D512="","",Key!D512)</f>
        <v/>
      </c>
      <c r="E512" s="2">
        <f>IF(Label_Standalone!C24="","",Label_Standalone!C24)</f>
        <v/>
      </c>
      <c r="F512" s="2">
        <f>IF(Label_Standalone!D24="","",Label_Standalone!D24)</f>
        <v/>
      </c>
      <c r="G512" s="5" t="n"/>
      <c r="H512" s="2">
        <f>IF(G512&lt;&gt;"",G512,IF(AND(E512&lt;&gt;"",E512=F512,E512&lt;&gt;"unsure"),E512,""))</f>
        <v/>
      </c>
      <c r="I512" s="2">
        <f>IF(AND(OR(E512="met",E512="not_met"),OR(F512="met",F512="not_met")),1,0)</f>
        <v/>
      </c>
      <c r="J512" s="2">
        <f>IF(I512=1,IF(E512=F512,1,0),"")</f>
        <v/>
      </c>
      <c r="K512" s="2" t="n"/>
      <c r="L512" s="2" t="n"/>
      <c r="M512" s="2" t="n"/>
      <c r="N512" s="2">
        <f>IF(OR(K512="",H512=""),"",IF((K512="met")=(H512="met"),1,0))</f>
        <v/>
      </c>
      <c r="O512" s="2">
        <f>IF(OR(L512="",H512=""),"",IF((L512="met")=(H512="met"),1,0))</f>
        <v/>
      </c>
      <c r="P512" s="2">
        <f>IF(OR(M512="",H512=""),"",IF((M512="met")=(H512="met"),1,0))</f>
        <v/>
      </c>
    </row>
    <row r="513">
      <c r="A513" s="2" t="inlineStr">
        <is>
          <t>S024</t>
        </is>
      </c>
      <c r="B513" s="2">
        <f>Key!B513</f>
        <v/>
      </c>
      <c r="C513" s="2">
        <f>Key!C513</f>
        <v/>
      </c>
      <c r="D513" s="2">
        <f>IF(Key!D513="","",Key!D513)</f>
        <v/>
      </c>
      <c r="E513" s="2">
        <f>IF(Label_Standalone!C25="","",Label_Standalone!C25)</f>
        <v/>
      </c>
      <c r="F513" s="2">
        <f>IF(Label_Standalone!D25="","",Label_Standalone!D25)</f>
        <v/>
      </c>
      <c r="G513" s="5" t="n"/>
      <c r="H513" s="2">
        <f>IF(G513&lt;&gt;"",G513,IF(AND(E513&lt;&gt;"",E513=F513,E513&lt;&gt;"unsure"),E513,""))</f>
        <v/>
      </c>
      <c r="I513" s="2">
        <f>IF(AND(OR(E513="met",E513="not_met"),OR(F513="met",F513="not_met")),1,0)</f>
        <v/>
      </c>
      <c r="J513" s="2">
        <f>IF(I513=1,IF(E513=F513,1,0),"")</f>
        <v/>
      </c>
      <c r="K513" s="2" t="n"/>
      <c r="L513" s="2" t="n"/>
      <c r="M513" s="2" t="n"/>
      <c r="N513" s="2">
        <f>IF(OR(K513="",H513=""),"",IF((K513="met")=(H513="met"),1,0))</f>
        <v/>
      </c>
      <c r="O513" s="2">
        <f>IF(OR(L513="",H513=""),"",IF((L513="met")=(H513="met"),1,0))</f>
        <v/>
      </c>
      <c r="P513" s="2">
        <f>IF(OR(M513="",H513=""),"",IF((M513="met")=(H513="met"),1,0))</f>
        <v/>
      </c>
    </row>
    <row r="514">
      <c r="A514" s="2" t="inlineStr">
        <is>
          <t>S025</t>
        </is>
      </c>
      <c r="B514" s="2">
        <f>Key!B514</f>
        <v/>
      </c>
      <c r="C514" s="2">
        <f>Key!C514</f>
        <v/>
      </c>
      <c r="D514" s="2">
        <f>IF(Key!D514="","",Key!D514)</f>
        <v/>
      </c>
      <c r="E514" s="2">
        <f>IF(Label_Standalone!C26="","",Label_Standalone!C26)</f>
        <v/>
      </c>
      <c r="F514" s="2">
        <f>IF(Label_Standalone!D26="","",Label_Standalone!D26)</f>
        <v/>
      </c>
      <c r="G514" s="5" t="n"/>
      <c r="H514" s="2">
        <f>IF(G514&lt;&gt;"",G514,IF(AND(E514&lt;&gt;"",E514=F514,E514&lt;&gt;"unsure"),E514,""))</f>
        <v/>
      </c>
      <c r="I514" s="2">
        <f>IF(AND(OR(E514="met",E514="not_met"),OR(F514="met",F514="not_met")),1,0)</f>
        <v/>
      </c>
      <c r="J514" s="2">
        <f>IF(I514=1,IF(E514=F514,1,0),"")</f>
        <v/>
      </c>
      <c r="K514" s="2" t="n"/>
      <c r="L514" s="2" t="n"/>
      <c r="M514" s="2" t="n"/>
      <c r="N514" s="2">
        <f>IF(OR(K514="",H514=""),"",IF((K514="met")=(H514="met"),1,0))</f>
        <v/>
      </c>
      <c r="O514" s="2">
        <f>IF(OR(L514="",H514=""),"",IF((L514="met")=(H514="met"),1,0))</f>
        <v/>
      </c>
      <c r="P514" s="2">
        <f>IF(OR(M514="",H514=""),"",IF((M514="met")=(H514="met"),1,0))</f>
        <v/>
      </c>
    </row>
    <row r="515">
      <c r="A515" s="2" t="inlineStr">
        <is>
          <t>S026</t>
        </is>
      </c>
      <c r="B515" s="2">
        <f>Key!B515</f>
        <v/>
      </c>
      <c r="C515" s="2">
        <f>Key!C515</f>
        <v/>
      </c>
      <c r="D515" s="2">
        <f>IF(Key!D515="","",Key!D515)</f>
        <v/>
      </c>
      <c r="E515" s="2">
        <f>IF(Label_Standalone!C27="","",Label_Standalone!C27)</f>
        <v/>
      </c>
      <c r="F515" s="2">
        <f>IF(Label_Standalone!D27="","",Label_Standalone!D27)</f>
        <v/>
      </c>
      <c r="G515" s="5" t="n"/>
      <c r="H515" s="2">
        <f>IF(G515&lt;&gt;"",G515,IF(AND(E515&lt;&gt;"",E515=F515,E515&lt;&gt;"unsure"),E515,""))</f>
        <v/>
      </c>
      <c r="I515" s="2">
        <f>IF(AND(OR(E515="met",E515="not_met"),OR(F515="met",F515="not_met")),1,0)</f>
        <v/>
      </c>
      <c r="J515" s="2">
        <f>IF(I515=1,IF(E515=F515,1,0),"")</f>
        <v/>
      </c>
      <c r="K515" s="2" t="n"/>
      <c r="L515" s="2" t="n"/>
      <c r="M515" s="2" t="n"/>
      <c r="N515" s="2">
        <f>IF(OR(K515="",H515=""),"",IF((K515="met")=(H515="met"),1,0))</f>
        <v/>
      </c>
      <c r="O515" s="2">
        <f>IF(OR(L515="",H515=""),"",IF((L515="met")=(H515="met"),1,0))</f>
        <v/>
      </c>
      <c r="P515" s="2">
        <f>IF(OR(M515="",H515=""),"",IF((M515="met")=(H515="met"),1,0))</f>
        <v/>
      </c>
    </row>
    <row r="516">
      <c r="A516" s="2" t="inlineStr">
        <is>
          <t>S027</t>
        </is>
      </c>
      <c r="B516" s="2">
        <f>Key!B516</f>
        <v/>
      </c>
      <c r="C516" s="2">
        <f>Key!C516</f>
        <v/>
      </c>
      <c r="D516" s="2">
        <f>IF(Key!D516="","",Key!D516)</f>
        <v/>
      </c>
      <c r="E516" s="2">
        <f>IF(Label_Standalone!C28="","",Label_Standalone!C28)</f>
        <v/>
      </c>
      <c r="F516" s="2">
        <f>IF(Label_Standalone!D28="","",Label_Standalone!D28)</f>
        <v/>
      </c>
      <c r="G516" s="5" t="n"/>
      <c r="H516" s="2">
        <f>IF(G516&lt;&gt;"",G516,IF(AND(E516&lt;&gt;"",E516=F516,E516&lt;&gt;"unsure"),E516,""))</f>
        <v/>
      </c>
      <c r="I516" s="2">
        <f>IF(AND(OR(E516="met",E516="not_met"),OR(F516="met",F516="not_met")),1,0)</f>
        <v/>
      </c>
      <c r="J516" s="2">
        <f>IF(I516=1,IF(E516=F516,1,0),"")</f>
        <v/>
      </c>
      <c r="K516" s="2" t="n"/>
      <c r="L516" s="2" t="n"/>
      <c r="M516" s="2" t="n"/>
      <c r="N516" s="2">
        <f>IF(OR(K516="",H516=""),"",IF((K516="met")=(H516="met"),1,0))</f>
        <v/>
      </c>
      <c r="O516" s="2">
        <f>IF(OR(L516="",H516=""),"",IF((L516="met")=(H516="met"),1,0))</f>
        <v/>
      </c>
      <c r="P516" s="2">
        <f>IF(OR(M516="",H516=""),"",IF((M516="met")=(H516="met"),1,0))</f>
        <v/>
      </c>
    </row>
    <row r="517">
      <c r="A517" s="2" t="inlineStr">
        <is>
          <t>S028</t>
        </is>
      </c>
      <c r="B517" s="2">
        <f>Key!B517</f>
        <v/>
      </c>
      <c r="C517" s="2">
        <f>Key!C517</f>
        <v/>
      </c>
      <c r="D517" s="2">
        <f>IF(Key!D517="","",Key!D517)</f>
        <v/>
      </c>
      <c r="E517" s="2">
        <f>IF(Label_Standalone!C29="","",Label_Standalone!C29)</f>
        <v/>
      </c>
      <c r="F517" s="2">
        <f>IF(Label_Standalone!D29="","",Label_Standalone!D29)</f>
        <v/>
      </c>
      <c r="G517" s="5" t="n"/>
      <c r="H517" s="2">
        <f>IF(G517&lt;&gt;"",G517,IF(AND(E517&lt;&gt;"",E517=F517,E517&lt;&gt;"unsure"),E517,""))</f>
        <v/>
      </c>
      <c r="I517" s="2">
        <f>IF(AND(OR(E517="met",E517="not_met"),OR(F517="met",F517="not_met")),1,0)</f>
        <v/>
      </c>
      <c r="J517" s="2">
        <f>IF(I517=1,IF(E517=F517,1,0),"")</f>
        <v/>
      </c>
      <c r="K517" s="2" t="n"/>
      <c r="L517" s="2" t="n"/>
      <c r="M517" s="2" t="n"/>
      <c r="N517" s="2">
        <f>IF(OR(K517="",H517=""),"",IF((K517="met")=(H517="met"),1,0))</f>
        <v/>
      </c>
      <c r="O517" s="2">
        <f>IF(OR(L517="",H517=""),"",IF((L517="met")=(H517="met"),1,0))</f>
        <v/>
      </c>
      <c r="P517" s="2">
        <f>IF(OR(M517="",H517=""),"",IF((M517="met")=(H517="met"),1,0))</f>
        <v/>
      </c>
    </row>
    <row r="518">
      <c r="A518" s="2" t="inlineStr">
        <is>
          <t>S029</t>
        </is>
      </c>
      <c r="B518" s="2">
        <f>Key!B518</f>
        <v/>
      </c>
      <c r="C518" s="2">
        <f>Key!C518</f>
        <v/>
      </c>
      <c r="D518" s="2">
        <f>IF(Key!D518="","",Key!D518)</f>
        <v/>
      </c>
      <c r="E518" s="2">
        <f>IF(Label_Standalone!C30="","",Label_Standalone!C30)</f>
        <v/>
      </c>
      <c r="F518" s="2">
        <f>IF(Label_Standalone!D30="","",Label_Standalone!D30)</f>
        <v/>
      </c>
      <c r="G518" s="5" t="n"/>
      <c r="H518" s="2">
        <f>IF(G518&lt;&gt;"",G518,IF(AND(E518&lt;&gt;"",E518=F518,E518&lt;&gt;"unsure"),E518,""))</f>
        <v/>
      </c>
      <c r="I518" s="2">
        <f>IF(AND(OR(E518="met",E518="not_met"),OR(F518="met",F518="not_met")),1,0)</f>
        <v/>
      </c>
      <c r="J518" s="2">
        <f>IF(I518=1,IF(E518=F518,1,0),"")</f>
        <v/>
      </c>
      <c r="K518" s="2" t="n"/>
      <c r="L518" s="2" t="n"/>
      <c r="M518" s="2" t="n"/>
      <c r="N518" s="2">
        <f>IF(OR(K518="",H518=""),"",IF((K518="met")=(H518="met"),1,0))</f>
        <v/>
      </c>
      <c r="O518" s="2">
        <f>IF(OR(L518="",H518=""),"",IF((L518="met")=(H518="met"),1,0))</f>
        <v/>
      </c>
      <c r="P518" s="2">
        <f>IF(OR(M518="",H518=""),"",IF((M518="met")=(H518="met"),1,0))</f>
        <v/>
      </c>
    </row>
    <row r="519">
      <c r="A519" s="2" t="inlineStr">
        <is>
          <t>S030</t>
        </is>
      </c>
      <c r="B519" s="2">
        <f>Key!B519</f>
        <v/>
      </c>
      <c r="C519" s="2">
        <f>Key!C519</f>
        <v/>
      </c>
      <c r="D519" s="2">
        <f>IF(Key!D519="","",Key!D519)</f>
        <v/>
      </c>
      <c r="E519" s="2">
        <f>IF(Label_Standalone!C31="","",Label_Standalone!C31)</f>
        <v/>
      </c>
      <c r="F519" s="2">
        <f>IF(Label_Standalone!D31="","",Label_Standalone!D31)</f>
        <v/>
      </c>
      <c r="G519" s="5" t="n"/>
      <c r="H519" s="2">
        <f>IF(G519&lt;&gt;"",G519,IF(AND(E519&lt;&gt;"",E519=F519,E519&lt;&gt;"unsure"),E519,""))</f>
        <v/>
      </c>
      <c r="I519" s="2">
        <f>IF(AND(OR(E519="met",E519="not_met"),OR(F519="met",F519="not_met")),1,0)</f>
        <v/>
      </c>
      <c r="J519" s="2">
        <f>IF(I519=1,IF(E519=F519,1,0),"")</f>
        <v/>
      </c>
      <c r="K519" s="2" t="n"/>
      <c r="L519" s="2" t="n"/>
      <c r="M519" s="2" t="n"/>
      <c r="N519" s="2">
        <f>IF(OR(K519="",H519=""),"",IF((K519="met")=(H519="met"),1,0))</f>
        <v/>
      </c>
      <c r="O519" s="2">
        <f>IF(OR(L519="",H519=""),"",IF((L519="met")=(H519="met"),1,0))</f>
        <v/>
      </c>
      <c r="P519" s="2">
        <f>IF(OR(M519="",H519=""),"",IF((M519="met")=(H519="met"),1,0))</f>
        <v/>
      </c>
    </row>
    <row r="520">
      <c r="A520" s="2" t="inlineStr">
        <is>
          <t>S031</t>
        </is>
      </c>
      <c r="B520" s="2">
        <f>Key!B520</f>
        <v/>
      </c>
      <c r="C520" s="2">
        <f>Key!C520</f>
        <v/>
      </c>
      <c r="D520" s="2">
        <f>IF(Key!D520="","",Key!D520)</f>
        <v/>
      </c>
      <c r="E520" s="2">
        <f>IF(Label_Standalone!C32="","",Label_Standalone!C32)</f>
        <v/>
      </c>
      <c r="F520" s="2">
        <f>IF(Label_Standalone!D32="","",Label_Standalone!D32)</f>
        <v/>
      </c>
      <c r="G520" s="5" t="n"/>
      <c r="H520" s="2">
        <f>IF(G520&lt;&gt;"",G520,IF(AND(E520&lt;&gt;"",E520=F520,E520&lt;&gt;"unsure"),E520,""))</f>
        <v/>
      </c>
      <c r="I520" s="2">
        <f>IF(AND(OR(E520="met",E520="not_met"),OR(F520="met",F520="not_met")),1,0)</f>
        <v/>
      </c>
      <c r="J520" s="2">
        <f>IF(I520=1,IF(E520=F520,1,0),"")</f>
        <v/>
      </c>
      <c r="K520" s="2" t="n"/>
      <c r="L520" s="2" t="n"/>
      <c r="M520" s="2" t="n"/>
      <c r="N520" s="2">
        <f>IF(OR(K520="",H520=""),"",IF((K520="met")=(H520="met"),1,0))</f>
        <v/>
      </c>
      <c r="O520" s="2">
        <f>IF(OR(L520="",H520=""),"",IF((L520="met")=(H520="met"),1,0))</f>
        <v/>
      </c>
      <c r="P520" s="2">
        <f>IF(OR(M520="",H520=""),"",IF((M520="met")=(H520="met"),1,0))</f>
        <v/>
      </c>
    </row>
    <row r="521">
      <c r="A521" s="2" t="inlineStr">
        <is>
          <t>S032</t>
        </is>
      </c>
      <c r="B521" s="2">
        <f>Key!B521</f>
        <v/>
      </c>
      <c r="C521" s="2">
        <f>Key!C521</f>
        <v/>
      </c>
      <c r="D521" s="2">
        <f>IF(Key!D521="","",Key!D521)</f>
        <v/>
      </c>
      <c r="E521" s="2">
        <f>IF(Label_Standalone!C33="","",Label_Standalone!C33)</f>
        <v/>
      </c>
      <c r="F521" s="2">
        <f>IF(Label_Standalone!D33="","",Label_Standalone!D33)</f>
        <v/>
      </c>
      <c r="G521" s="5" t="n"/>
      <c r="H521" s="2">
        <f>IF(G521&lt;&gt;"",G521,IF(AND(E521&lt;&gt;"",E521=F521,E521&lt;&gt;"unsure"),E521,""))</f>
        <v/>
      </c>
      <c r="I521" s="2">
        <f>IF(AND(OR(E521="met",E521="not_met"),OR(F521="met",F521="not_met")),1,0)</f>
        <v/>
      </c>
      <c r="J521" s="2">
        <f>IF(I521=1,IF(E521=F521,1,0),"")</f>
        <v/>
      </c>
      <c r="K521" s="2" t="n"/>
      <c r="L521" s="2" t="n"/>
      <c r="M521" s="2" t="n"/>
      <c r="N521" s="2">
        <f>IF(OR(K521="",H521=""),"",IF((K521="met")=(H521="met"),1,0))</f>
        <v/>
      </c>
      <c r="O521" s="2">
        <f>IF(OR(L521="",H521=""),"",IF((L521="met")=(H521="met"),1,0))</f>
        <v/>
      </c>
      <c r="P521" s="2">
        <f>IF(OR(M521="",H521=""),"",IF((M521="met")=(H521="met"),1,0))</f>
        <v/>
      </c>
    </row>
    <row r="522">
      <c r="A522" s="2" t="inlineStr">
        <is>
          <t>S033</t>
        </is>
      </c>
      <c r="B522" s="2">
        <f>Key!B522</f>
        <v/>
      </c>
      <c r="C522" s="2">
        <f>Key!C522</f>
        <v/>
      </c>
      <c r="D522" s="2">
        <f>IF(Key!D522="","",Key!D522)</f>
        <v/>
      </c>
      <c r="E522" s="2">
        <f>IF(Label_Standalone!C34="","",Label_Standalone!C34)</f>
        <v/>
      </c>
      <c r="F522" s="2">
        <f>IF(Label_Standalone!D34="","",Label_Standalone!D34)</f>
        <v/>
      </c>
      <c r="G522" s="5" t="n"/>
      <c r="H522" s="2">
        <f>IF(G522&lt;&gt;"",G522,IF(AND(E522&lt;&gt;"",E522=F522,E522&lt;&gt;"unsure"),E522,""))</f>
        <v/>
      </c>
      <c r="I522" s="2">
        <f>IF(AND(OR(E522="met",E522="not_met"),OR(F522="met",F522="not_met")),1,0)</f>
        <v/>
      </c>
      <c r="J522" s="2">
        <f>IF(I522=1,IF(E522=F522,1,0),"")</f>
        <v/>
      </c>
      <c r="K522" s="2" t="n"/>
      <c r="L522" s="2" t="n"/>
      <c r="M522" s="2" t="n"/>
      <c r="N522" s="2">
        <f>IF(OR(K522="",H522=""),"",IF((K522="met")=(H522="met"),1,0))</f>
        <v/>
      </c>
      <c r="O522" s="2">
        <f>IF(OR(L522="",H522=""),"",IF((L522="met")=(H522="met"),1,0))</f>
        <v/>
      </c>
      <c r="P522" s="2">
        <f>IF(OR(M522="",H522=""),"",IF((M522="met")=(H522="met"),1,0))</f>
        <v/>
      </c>
    </row>
    <row r="523">
      <c r="A523" s="2" t="inlineStr">
        <is>
          <t>S034</t>
        </is>
      </c>
      <c r="B523" s="2">
        <f>Key!B523</f>
        <v/>
      </c>
      <c r="C523" s="2">
        <f>Key!C523</f>
        <v/>
      </c>
      <c r="D523" s="2">
        <f>IF(Key!D523="","",Key!D523)</f>
        <v/>
      </c>
      <c r="E523" s="2">
        <f>IF(Label_Standalone!C35="","",Label_Standalone!C35)</f>
        <v/>
      </c>
      <c r="F523" s="2">
        <f>IF(Label_Standalone!D35="","",Label_Standalone!D35)</f>
        <v/>
      </c>
      <c r="G523" s="5" t="n"/>
      <c r="H523" s="2">
        <f>IF(G523&lt;&gt;"",G523,IF(AND(E523&lt;&gt;"",E523=F523,E523&lt;&gt;"unsure"),E523,""))</f>
        <v/>
      </c>
      <c r="I523" s="2">
        <f>IF(AND(OR(E523="met",E523="not_met"),OR(F523="met",F523="not_met")),1,0)</f>
        <v/>
      </c>
      <c r="J523" s="2">
        <f>IF(I523=1,IF(E523=F523,1,0),"")</f>
        <v/>
      </c>
      <c r="K523" s="2" t="n"/>
      <c r="L523" s="2" t="n"/>
      <c r="M523" s="2" t="n"/>
      <c r="N523" s="2">
        <f>IF(OR(K523="",H523=""),"",IF((K523="met")=(H523="met"),1,0))</f>
        <v/>
      </c>
      <c r="O523" s="2">
        <f>IF(OR(L523="",H523=""),"",IF((L523="met")=(H523="met"),1,0))</f>
        <v/>
      </c>
      <c r="P523" s="2">
        <f>IF(OR(M523="",H523=""),"",IF((M523="met")=(H523="met"),1,0))</f>
        <v/>
      </c>
    </row>
    <row r="524">
      <c r="A524" s="2" t="inlineStr">
        <is>
          <t>S035</t>
        </is>
      </c>
      <c r="B524" s="2">
        <f>Key!B524</f>
        <v/>
      </c>
      <c r="C524" s="2">
        <f>Key!C524</f>
        <v/>
      </c>
      <c r="D524" s="2">
        <f>IF(Key!D524="","",Key!D524)</f>
        <v/>
      </c>
      <c r="E524" s="2">
        <f>IF(Label_Standalone!C36="","",Label_Standalone!C36)</f>
        <v/>
      </c>
      <c r="F524" s="2">
        <f>IF(Label_Standalone!D36="","",Label_Standalone!D36)</f>
        <v/>
      </c>
      <c r="G524" s="5" t="n"/>
      <c r="H524" s="2">
        <f>IF(G524&lt;&gt;"",G524,IF(AND(E524&lt;&gt;"",E524=F524,E524&lt;&gt;"unsure"),E524,""))</f>
        <v/>
      </c>
      <c r="I524" s="2">
        <f>IF(AND(OR(E524="met",E524="not_met"),OR(F524="met",F524="not_met")),1,0)</f>
        <v/>
      </c>
      <c r="J524" s="2">
        <f>IF(I524=1,IF(E524=F524,1,0),"")</f>
        <v/>
      </c>
      <c r="K524" s="2" t="n"/>
      <c r="L524" s="2" t="n"/>
      <c r="M524" s="2" t="n"/>
      <c r="N524" s="2">
        <f>IF(OR(K524="",H524=""),"",IF((K524="met")=(H524="met"),1,0))</f>
        <v/>
      </c>
      <c r="O524" s="2">
        <f>IF(OR(L524="",H524=""),"",IF((L524="met")=(H524="met"),1,0))</f>
        <v/>
      </c>
      <c r="P524" s="2">
        <f>IF(OR(M524="",H524=""),"",IF((M524="met")=(H524="met"),1,0))</f>
        <v/>
      </c>
    </row>
    <row r="525">
      <c r="A525" s="2" t="inlineStr">
        <is>
          <t>S036</t>
        </is>
      </c>
      <c r="B525" s="2">
        <f>Key!B525</f>
        <v/>
      </c>
      <c r="C525" s="2">
        <f>Key!C525</f>
        <v/>
      </c>
      <c r="D525" s="2">
        <f>IF(Key!D525="","",Key!D525)</f>
        <v/>
      </c>
      <c r="E525" s="2">
        <f>IF(Label_Standalone!C37="","",Label_Standalone!C37)</f>
        <v/>
      </c>
      <c r="F525" s="2">
        <f>IF(Label_Standalone!D37="","",Label_Standalone!D37)</f>
        <v/>
      </c>
      <c r="G525" s="5" t="n"/>
      <c r="H525" s="2">
        <f>IF(G525&lt;&gt;"",G525,IF(AND(E525&lt;&gt;"",E525=F525,E525&lt;&gt;"unsure"),E525,""))</f>
        <v/>
      </c>
      <c r="I525" s="2">
        <f>IF(AND(OR(E525="met",E525="not_met"),OR(F525="met",F525="not_met")),1,0)</f>
        <v/>
      </c>
      <c r="J525" s="2">
        <f>IF(I525=1,IF(E525=F525,1,0),"")</f>
        <v/>
      </c>
      <c r="K525" s="2" t="n"/>
      <c r="L525" s="2" t="n"/>
      <c r="M525" s="2" t="n"/>
      <c r="N525" s="2">
        <f>IF(OR(K525="",H525=""),"",IF((K525="met")=(H525="met"),1,0))</f>
        <v/>
      </c>
      <c r="O525" s="2">
        <f>IF(OR(L525="",H525=""),"",IF((L525="met")=(H525="met"),1,0))</f>
        <v/>
      </c>
      <c r="P525" s="2">
        <f>IF(OR(M525="",H525=""),"",IF((M525="met")=(H525="met"),1,0))</f>
        <v/>
      </c>
    </row>
    <row r="526">
      <c r="A526" s="2" t="inlineStr">
        <is>
          <t>S037</t>
        </is>
      </c>
      <c r="B526" s="2">
        <f>Key!B526</f>
        <v/>
      </c>
      <c r="C526" s="2">
        <f>Key!C526</f>
        <v/>
      </c>
      <c r="D526" s="2">
        <f>IF(Key!D526="","",Key!D526)</f>
        <v/>
      </c>
      <c r="E526" s="2">
        <f>IF(Label_Standalone!C38="","",Label_Standalone!C38)</f>
        <v/>
      </c>
      <c r="F526" s="2">
        <f>IF(Label_Standalone!D38="","",Label_Standalone!D38)</f>
        <v/>
      </c>
      <c r="G526" s="5" t="n"/>
      <c r="H526" s="2">
        <f>IF(G526&lt;&gt;"",G526,IF(AND(E526&lt;&gt;"",E526=F526,E526&lt;&gt;"unsure"),E526,""))</f>
        <v/>
      </c>
      <c r="I526" s="2">
        <f>IF(AND(OR(E526="met",E526="not_met"),OR(F526="met",F526="not_met")),1,0)</f>
        <v/>
      </c>
      <c r="J526" s="2">
        <f>IF(I526=1,IF(E526=F526,1,0),"")</f>
        <v/>
      </c>
      <c r="K526" s="2" t="n"/>
      <c r="L526" s="2" t="n"/>
      <c r="M526" s="2" t="n"/>
      <c r="N526" s="2">
        <f>IF(OR(K526="",H526=""),"",IF((K526="met")=(H526="met"),1,0))</f>
        <v/>
      </c>
      <c r="O526" s="2">
        <f>IF(OR(L526="",H526=""),"",IF((L526="met")=(H526="met"),1,0))</f>
        <v/>
      </c>
      <c r="P526" s="2">
        <f>IF(OR(M526="",H526=""),"",IF((M526="met")=(H526="met"),1,0))</f>
        <v/>
      </c>
    </row>
    <row r="527">
      <c r="A527" s="2" t="inlineStr">
        <is>
          <t>S038</t>
        </is>
      </c>
      <c r="B527" s="2">
        <f>Key!B527</f>
        <v/>
      </c>
      <c r="C527" s="2">
        <f>Key!C527</f>
        <v/>
      </c>
      <c r="D527" s="2">
        <f>IF(Key!D527="","",Key!D527)</f>
        <v/>
      </c>
      <c r="E527" s="2">
        <f>IF(Label_Standalone!C39="","",Label_Standalone!C39)</f>
        <v/>
      </c>
      <c r="F527" s="2">
        <f>IF(Label_Standalone!D39="","",Label_Standalone!D39)</f>
        <v/>
      </c>
      <c r="G527" s="5" t="n"/>
      <c r="H527" s="2">
        <f>IF(G527&lt;&gt;"",G527,IF(AND(E527&lt;&gt;"",E527=F527,E527&lt;&gt;"unsure"),E527,""))</f>
        <v/>
      </c>
      <c r="I527" s="2">
        <f>IF(AND(OR(E527="met",E527="not_met"),OR(F527="met",F527="not_met")),1,0)</f>
        <v/>
      </c>
      <c r="J527" s="2">
        <f>IF(I527=1,IF(E527=F527,1,0),"")</f>
        <v/>
      </c>
      <c r="K527" s="2" t="n"/>
      <c r="L527" s="2" t="n"/>
      <c r="M527" s="2" t="n"/>
      <c r="N527" s="2">
        <f>IF(OR(K527="",H527=""),"",IF((K527="met")=(H527="met"),1,0))</f>
        <v/>
      </c>
      <c r="O527" s="2">
        <f>IF(OR(L527="",H527=""),"",IF((L527="met")=(H527="met"),1,0))</f>
        <v/>
      </c>
      <c r="P527" s="2">
        <f>IF(OR(M527="",H527=""),"",IF((M527="met")=(H527="met"),1,0))</f>
        <v/>
      </c>
    </row>
    <row r="528">
      <c r="A528" s="2" t="inlineStr">
        <is>
          <t>S039</t>
        </is>
      </c>
      <c r="B528" s="2">
        <f>Key!B528</f>
        <v/>
      </c>
      <c r="C528" s="2">
        <f>Key!C528</f>
        <v/>
      </c>
      <c r="D528" s="2">
        <f>IF(Key!D528="","",Key!D528)</f>
        <v/>
      </c>
      <c r="E528" s="2">
        <f>IF(Label_Standalone!C40="","",Label_Standalone!C40)</f>
        <v/>
      </c>
      <c r="F528" s="2">
        <f>IF(Label_Standalone!D40="","",Label_Standalone!D40)</f>
        <v/>
      </c>
      <c r="G528" s="5" t="n"/>
      <c r="H528" s="2">
        <f>IF(G528&lt;&gt;"",G528,IF(AND(E528&lt;&gt;"",E528=F528,E528&lt;&gt;"unsure"),E528,""))</f>
        <v/>
      </c>
      <c r="I528" s="2">
        <f>IF(AND(OR(E528="met",E528="not_met"),OR(F528="met",F528="not_met")),1,0)</f>
        <v/>
      </c>
      <c r="J528" s="2">
        <f>IF(I528=1,IF(E528=F528,1,0),"")</f>
        <v/>
      </c>
      <c r="K528" s="2" t="n"/>
      <c r="L528" s="2" t="n"/>
      <c r="M528" s="2" t="n"/>
      <c r="N528" s="2">
        <f>IF(OR(K528="",H528=""),"",IF((K528="met")=(H528="met"),1,0))</f>
        <v/>
      </c>
      <c r="O528" s="2">
        <f>IF(OR(L528="",H528=""),"",IF((L528="met")=(H528="met"),1,0))</f>
        <v/>
      </c>
      <c r="P528" s="2">
        <f>IF(OR(M528="",H528=""),"",IF((M528="met")=(H528="met"),1,0))</f>
        <v/>
      </c>
    </row>
    <row r="529">
      <c r="A529" s="2" t="inlineStr">
        <is>
          <t>S040</t>
        </is>
      </c>
      <c r="B529" s="2">
        <f>Key!B529</f>
        <v/>
      </c>
      <c r="C529" s="2">
        <f>Key!C529</f>
        <v/>
      </c>
      <c r="D529" s="2">
        <f>IF(Key!D529="","",Key!D529)</f>
        <v/>
      </c>
      <c r="E529" s="2">
        <f>IF(Label_Standalone!C41="","",Label_Standalone!C41)</f>
        <v/>
      </c>
      <c r="F529" s="2">
        <f>IF(Label_Standalone!D41="","",Label_Standalone!D41)</f>
        <v/>
      </c>
      <c r="G529" s="5" t="n"/>
      <c r="H529" s="2">
        <f>IF(G529&lt;&gt;"",G529,IF(AND(E529&lt;&gt;"",E529=F529,E529&lt;&gt;"unsure"),E529,""))</f>
        <v/>
      </c>
      <c r="I529" s="2">
        <f>IF(AND(OR(E529="met",E529="not_met"),OR(F529="met",F529="not_met")),1,0)</f>
        <v/>
      </c>
      <c r="J529" s="2">
        <f>IF(I529=1,IF(E529=F529,1,0),"")</f>
        <v/>
      </c>
      <c r="K529" s="2" t="n"/>
      <c r="L529" s="2" t="n"/>
      <c r="M529" s="2" t="n"/>
      <c r="N529" s="2">
        <f>IF(OR(K529="",H529=""),"",IF((K529="met")=(H529="met"),1,0))</f>
        <v/>
      </c>
      <c r="O529" s="2">
        <f>IF(OR(L529="",H529=""),"",IF((L529="met")=(H529="met"),1,0))</f>
        <v/>
      </c>
      <c r="P529" s="2">
        <f>IF(OR(M529="",H529=""),"",IF((M529="met")=(H529="met"),1,0))</f>
        <v/>
      </c>
    </row>
    <row r="530">
      <c r="A530" s="2" t="inlineStr">
        <is>
          <t>S041</t>
        </is>
      </c>
      <c r="B530" s="2">
        <f>Key!B530</f>
        <v/>
      </c>
      <c r="C530" s="2">
        <f>Key!C530</f>
        <v/>
      </c>
      <c r="D530" s="2">
        <f>IF(Key!D530="","",Key!D530)</f>
        <v/>
      </c>
      <c r="E530" s="2">
        <f>IF(Label_Standalone!C42="","",Label_Standalone!C42)</f>
        <v/>
      </c>
      <c r="F530" s="2">
        <f>IF(Label_Standalone!D42="","",Label_Standalone!D42)</f>
        <v/>
      </c>
      <c r="G530" s="5" t="n"/>
      <c r="H530" s="2">
        <f>IF(G530&lt;&gt;"",G530,IF(AND(E530&lt;&gt;"",E530=F530,E530&lt;&gt;"unsure"),E530,""))</f>
        <v/>
      </c>
      <c r="I530" s="2">
        <f>IF(AND(OR(E530="met",E530="not_met"),OR(F530="met",F530="not_met")),1,0)</f>
        <v/>
      </c>
      <c r="J530" s="2">
        <f>IF(I530=1,IF(E530=F530,1,0),"")</f>
        <v/>
      </c>
      <c r="K530" s="2" t="n"/>
      <c r="L530" s="2" t="n"/>
      <c r="M530" s="2" t="n"/>
      <c r="N530" s="2">
        <f>IF(OR(K530="",H530=""),"",IF((K530="met")=(H530="met"),1,0))</f>
        <v/>
      </c>
      <c r="O530" s="2">
        <f>IF(OR(L530="",H530=""),"",IF((L530="met")=(H530="met"),1,0))</f>
        <v/>
      </c>
      <c r="P530" s="2">
        <f>IF(OR(M530="",H530=""),"",IF((M530="met")=(H530="met"),1,0))</f>
        <v/>
      </c>
    </row>
    <row r="531">
      <c r="A531" s="2" t="inlineStr">
        <is>
          <t>S042</t>
        </is>
      </c>
      <c r="B531" s="2">
        <f>Key!B531</f>
        <v/>
      </c>
      <c r="C531" s="2">
        <f>Key!C531</f>
        <v/>
      </c>
      <c r="D531" s="2">
        <f>IF(Key!D531="","",Key!D531)</f>
        <v/>
      </c>
      <c r="E531" s="2">
        <f>IF(Label_Standalone!C43="","",Label_Standalone!C43)</f>
        <v/>
      </c>
      <c r="F531" s="2">
        <f>IF(Label_Standalone!D43="","",Label_Standalone!D43)</f>
        <v/>
      </c>
      <c r="G531" s="5" t="n"/>
      <c r="H531" s="2">
        <f>IF(G531&lt;&gt;"",G531,IF(AND(E531&lt;&gt;"",E531=F531,E531&lt;&gt;"unsure"),E531,""))</f>
        <v/>
      </c>
      <c r="I531" s="2">
        <f>IF(AND(OR(E531="met",E531="not_met"),OR(F531="met",F531="not_met")),1,0)</f>
        <v/>
      </c>
      <c r="J531" s="2">
        <f>IF(I531=1,IF(E531=F531,1,0),"")</f>
        <v/>
      </c>
      <c r="K531" s="2" t="n"/>
      <c r="L531" s="2" t="n"/>
      <c r="M531" s="2" t="n"/>
      <c r="N531" s="2">
        <f>IF(OR(K531="",H531=""),"",IF((K531="met")=(H531="met"),1,0))</f>
        <v/>
      </c>
      <c r="O531" s="2">
        <f>IF(OR(L531="",H531=""),"",IF((L531="met")=(H531="met"),1,0))</f>
        <v/>
      </c>
      <c r="P531" s="2">
        <f>IF(OR(M531="",H531=""),"",IF((M531="met")=(H531="met"),1,0))</f>
        <v/>
      </c>
    </row>
    <row r="532">
      <c r="A532" s="2" t="inlineStr">
        <is>
          <t>S043</t>
        </is>
      </c>
      <c r="B532" s="2">
        <f>Key!B532</f>
        <v/>
      </c>
      <c r="C532" s="2">
        <f>Key!C532</f>
        <v/>
      </c>
      <c r="D532" s="2">
        <f>IF(Key!D532="","",Key!D532)</f>
        <v/>
      </c>
      <c r="E532" s="2">
        <f>IF(Label_Standalone!C44="","",Label_Standalone!C44)</f>
        <v/>
      </c>
      <c r="F532" s="2">
        <f>IF(Label_Standalone!D44="","",Label_Standalone!D44)</f>
        <v/>
      </c>
      <c r="G532" s="5" t="n"/>
      <c r="H532" s="2">
        <f>IF(G532&lt;&gt;"",G532,IF(AND(E532&lt;&gt;"",E532=F532,E532&lt;&gt;"unsure"),E532,""))</f>
        <v/>
      </c>
      <c r="I532" s="2">
        <f>IF(AND(OR(E532="met",E532="not_met"),OR(F532="met",F532="not_met")),1,0)</f>
        <v/>
      </c>
      <c r="J532" s="2">
        <f>IF(I532=1,IF(E532=F532,1,0),"")</f>
        <v/>
      </c>
      <c r="K532" s="2" t="n"/>
      <c r="L532" s="2" t="n"/>
      <c r="M532" s="2" t="n"/>
      <c r="N532" s="2">
        <f>IF(OR(K532="",H532=""),"",IF((K532="met")=(H532="met"),1,0))</f>
        <v/>
      </c>
      <c r="O532" s="2">
        <f>IF(OR(L532="",H532=""),"",IF((L532="met")=(H532="met"),1,0))</f>
        <v/>
      </c>
      <c r="P532" s="2">
        <f>IF(OR(M532="",H532=""),"",IF((M532="met")=(H532="met"),1,0))</f>
        <v/>
      </c>
    </row>
    <row r="533">
      <c r="A533" s="2" t="inlineStr">
        <is>
          <t>S044</t>
        </is>
      </c>
      <c r="B533" s="2">
        <f>Key!B533</f>
        <v/>
      </c>
      <c r="C533" s="2">
        <f>Key!C533</f>
        <v/>
      </c>
      <c r="D533" s="2">
        <f>IF(Key!D533="","",Key!D533)</f>
        <v/>
      </c>
      <c r="E533" s="2">
        <f>IF(Label_Standalone!C45="","",Label_Standalone!C45)</f>
        <v/>
      </c>
      <c r="F533" s="2">
        <f>IF(Label_Standalone!D45="","",Label_Standalone!D45)</f>
        <v/>
      </c>
      <c r="G533" s="5" t="n"/>
      <c r="H533" s="2">
        <f>IF(G533&lt;&gt;"",G533,IF(AND(E533&lt;&gt;"",E533=F533,E533&lt;&gt;"unsure"),E533,""))</f>
        <v/>
      </c>
      <c r="I533" s="2">
        <f>IF(AND(OR(E533="met",E533="not_met"),OR(F533="met",F533="not_met")),1,0)</f>
        <v/>
      </c>
      <c r="J533" s="2">
        <f>IF(I533=1,IF(E533=F533,1,0),"")</f>
        <v/>
      </c>
      <c r="K533" s="2" t="n"/>
      <c r="L533" s="2" t="n"/>
      <c r="M533" s="2" t="n"/>
      <c r="N533" s="2">
        <f>IF(OR(K533="",H533=""),"",IF((K533="met")=(H533="met"),1,0))</f>
        <v/>
      </c>
      <c r="O533" s="2">
        <f>IF(OR(L533="",H533=""),"",IF((L533="met")=(H533="met"),1,0))</f>
        <v/>
      </c>
      <c r="P533" s="2">
        <f>IF(OR(M533="",H533=""),"",IF((M533="met")=(H533="met"),1,0))</f>
        <v/>
      </c>
    </row>
    <row r="534">
      <c r="A534" s="2" t="inlineStr">
        <is>
          <t>S045</t>
        </is>
      </c>
      <c r="B534" s="2">
        <f>Key!B534</f>
        <v/>
      </c>
      <c r="C534" s="2">
        <f>Key!C534</f>
        <v/>
      </c>
      <c r="D534" s="2">
        <f>IF(Key!D534="","",Key!D534)</f>
        <v/>
      </c>
      <c r="E534" s="2">
        <f>IF(Label_Standalone!C46="","",Label_Standalone!C46)</f>
        <v/>
      </c>
      <c r="F534" s="2">
        <f>IF(Label_Standalone!D46="","",Label_Standalone!D46)</f>
        <v/>
      </c>
      <c r="G534" s="5" t="n"/>
      <c r="H534" s="2">
        <f>IF(G534&lt;&gt;"",G534,IF(AND(E534&lt;&gt;"",E534=F534,E534&lt;&gt;"unsure"),E534,""))</f>
        <v/>
      </c>
      <c r="I534" s="2">
        <f>IF(AND(OR(E534="met",E534="not_met"),OR(F534="met",F534="not_met")),1,0)</f>
        <v/>
      </c>
      <c r="J534" s="2">
        <f>IF(I534=1,IF(E534=F534,1,0),"")</f>
        <v/>
      </c>
      <c r="K534" s="2" t="n"/>
      <c r="L534" s="2" t="n"/>
      <c r="M534" s="2" t="n"/>
      <c r="N534" s="2">
        <f>IF(OR(K534="",H534=""),"",IF((K534="met")=(H534="met"),1,0))</f>
        <v/>
      </c>
      <c r="O534" s="2">
        <f>IF(OR(L534="",H534=""),"",IF((L534="met")=(H534="met"),1,0))</f>
        <v/>
      </c>
      <c r="P534" s="2">
        <f>IF(OR(M534="",H534=""),"",IF((M534="met")=(H534="met"),1,0))</f>
        <v/>
      </c>
    </row>
    <row r="535">
      <c r="A535" s="2" t="inlineStr">
        <is>
          <t>S046</t>
        </is>
      </c>
      <c r="B535" s="2">
        <f>Key!B535</f>
        <v/>
      </c>
      <c r="C535" s="2">
        <f>Key!C535</f>
        <v/>
      </c>
      <c r="D535" s="2">
        <f>IF(Key!D535="","",Key!D535)</f>
        <v/>
      </c>
      <c r="E535" s="2">
        <f>IF(Label_Standalone!C47="","",Label_Standalone!C47)</f>
        <v/>
      </c>
      <c r="F535" s="2">
        <f>IF(Label_Standalone!D47="","",Label_Standalone!D47)</f>
        <v/>
      </c>
      <c r="G535" s="5" t="n"/>
      <c r="H535" s="2">
        <f>IF(G535&lt;&gt;"",G535,IF(AND(E535&lt;&gt;"",E535=F535,E535&lt;&gt;"unsure"),E535,""))</f>
        <v/>
      </c>
      <c r="I535" s="2">
        <f>IF(AND(OR(E535="met",E535="not_met"),OR(F535="met",F535="not_met")),1,0)</f>
        <v/>
      </c>
      <c r="J535" s="2">
        <f>IF(I535=1,IF(E535=F535,1,0),"")</f>
        <v/>
      </c>
      <c r="K535" s="2" t="n"/>
      <c r="L535" s="2" t="n"/>
      <c r="M535" s="2" t="n"/>
      <c r="N535" s="2">
        <f>IF(OR(K535="",H535=""),"",IF((K535="met")=(H535="met"),1,0))</f>
        <v/>
      </c>
      <c r="O535" s="2">
        <f>IF(OR(L535="",H535=""),"",IF((L535="met")=(H535="met"),1,0))</f>
        <v/>
      </c>
      <c r="P535" s="2">
        <f>IF(OR(M535="",H535=""),"",IF((M535="met")=(H535="met"),1,0))</f>
        <v/>
      </c>
    </row>
    <row r="536">
      <c r="A536" s="2" t="inlineStr">
        <is>
          <t>S047</t>
        </is>
      </c>
      <c r="B536" s="2">
        <f>Key!B536</f>
        <v/>
      </c>
      <c r="C536" s="2">
        <f>Key!C536</f>
        <v/>
      </c>
      <c r="D536" s="2">
        <f>IF(Key!D536="","",Key!D536)</f>
        <v/>
      </c>
      <c r="E536" s="2">
        <f>IF(Label_Standalone!C48="","",Label_Standalone!C48)</f>
        <v/>
      </c>
      <c r="F536" s="2">
        <f>IF(Label_Standalone!D48="","",Label_Standalone!D48)</f>
        <v/>
      </c>
      <c r="G536" s="5" t="n"/>
      <c r="H536" s="2">
        <f>IF(G536&lt;&gt;"",G536,IF(AND(E536&lt;&gt;"",E536=F536,E536&lt;&gt;"unsure"),E536,""))</f>
        <v/>
      </c>
      <c r="I536" s="2">
        <f>IF(AND(OR(E536="met",E536="not_met"),OR(F536="met",F536="not_met")),1,0)</f>
        <v/>
      </c>
      <c r="J536" s="2">
        <f>IF(I536=1,IF(E536=F536,1,0),"")</f>
        <v/>
      </c>
      <c r="K536" s="2" t="n"/>
      <c r="L536" s="2" t="n"/>
      <c r="M536" s="2" t="n"/>
      <c r="N536" s="2">
        <f>IF(OR(K536="",H536=""),"",IF((K536="met")=(H536="met"),1,0))</f>
        <v/>
      </c>
      <c r="O536" s="2">
        <f>IF(OR(L536="",H536=""),"",IF((L536="met")=(H536="met"),1,0))</f>
        <v/>
      </c>
      <c r="P536" s="2">
        <f>IF(OR(M536="",H536=""),"",IF((M536="met")=(H536="met"),1,0))</f>
        <v/>
      </c>
    </row>
    <row r="537">
      <c r="A537" s="2" t="inlineStr">
        <is>
          <t>S048</t>
        </is>
      </c>
      <c r="B537" s="2">
        <f>Key!B537</f>
        <v/>
      </c>
      <c r="C537" s="2">
        <f>Key!C537</f>
        <v/>
      </c>
      <c r="D537" s="2">
        <f>IF(Key!D537="","",Key!D537)</f>
        <v/>
      </c>
      <c r="E537" s="2">
        <f>IF(Label_Standalone!C49="","",Label_Standalone!C49)</f>
        <v/>
      </c>
      <c r="F537" s="2">
        <f>IF(Label_Standalone!D49="","",Label_Standalone!D49)</f>
        <v/>
      </c>
      <c r="G537" s="5" t="n"/>
      <c r="H537" s="2">
        <f>IF(G537&lt;&gt;"",G537,IF(AND(E537&lt;&gt;"",E537=F537,E537&lt;&gt;"unsure"),E537,""))</f>
        <v/>
      </c>
      <c r="I537" s="2">
        <f>IF(AND(OR(E537="met",E537="not_met"),OR(F537="met",F537="not_met")),1,0)</f>
        <v/>
      </c>
      <c r="J537" s="2">
        <f>IF(I537=1,IF(E537=F537,1,0),"")</f>
        <v/>
      </c>
      <c r="K537" s="2" t="n"/>
      <c r="L537" s="2" t="n"/>
      <c r="M537" s="2" t="n"/>
      <c r="N537" s="2">
        <f>IF(OR(K537="",H537=""),"",IF((K537="met")=(H537="met"),1,0))</f>
        <v/>
      </c>
      <c r="O537" s="2">
        <f>IF(OR(L537="",H537=""),"",IF((L537="met")=(H537="met"),1,0))</f>
        <v/>
      </c>
      <c r="P537" s="2">
        <f>IF(OR(M537="",H537=""),"",IF((M537="met")=(H537="met"),1,0))</f>
        <v/>
      </c>
    </row>
    <row r="538">
      <c r="A538" s="2" t="inlineStr">
        <is>
          <t>S049</t>
        </is>
      </c>
      <c r="B538" s="2">
        <f>Key!B538</f>
        <v/>
      </c>
      <c r="C538" s="2">
        <f>Key!C538</f>
        <v/>
      </c>
      <c r="D538" s="2">
        <f>IF(Key!D538="","",Key!D538)</f>
        <v/>
      </c>
      <c r="E538" s="2">
        <f>IF(Label_Standalone!C50="","",Label_Standalone!C50)</f>
        <v/>
      </c>
      <c r="F538" s="2">
        <f>IF(Label_Standalone!D50="","",Label_Standalone!D50)</f>
        <v/>
      </c>
      <c r="G538" s="5" t="n"/>
      <c r="H538" s="2">
        <f>IF(G538&lt;&gt;"",G538,IF(AND(E538&lt;&gt;"",E538=F538,E538&lt;&gt;"unsure"),E538,""))</f>
        <v/>
      </c>
      <c r="I538" s="2">
        <f>IF(AND(OR(E538="met",E538="not_met"),OR(F538="met",F538="not_met")),1,0)</f>
        <v/>
      </c>
      <c r="J538" s="2">
        <f>IF(I538=1,IF(E538=F538,1,0),"")</f>
        <v/>
      </c>
      <c r="K538" s="2" t="n"/>
      <c r="L538" s="2" t="n"/>
      <c r="M538" s="2" t="n"/>
      <c r="N538" s="2">
        <f>IF(OR(K538="",H538=""),"",IF((K538="met")=(H538="met"),1,0))</f>
        <v/>
      </c>
      <c r="O538" s="2">
        <f>IF(OR(L538="",H538=""),"",IF((L538="met")=(H538="met"),1,0))</f>
        <v/>
      </c>
      <c r="P538" s="2">
        <f>IF(OR(M538="",H538=""),"",IF((M538="met")=(H538="met"),1,0))</f>
        <v/>
      </c>
    </row>
    <row r="539">
      <c r="A539" s="2" t="inlineStr">
        <is>
          <t>S050</t>
        </is>
      </c>
      <c r="B539" s="2">
        <f>Key!B539</f>
        <v/>
      </c>
      <c r="C539" s="2">
        <f>Key!C539</f>
        <v/>
      </c>
      <c r="D539" s="2">
        <f>IF(Key!D539="","",Key!D539)</f>
        <v/>
      </c>
      <c r="E539" s="2">
        <f>IF(Label_Standalone!C51="","",Label_Standalone!C51)</f>
        <v/>
      </c>
      <c r="F539" s="2">
        <f>IF(Label_Standalone!D51="","",Label_Standalone!D51)</f>
        <v/>
      </c>
      <c r="G539" s="5" t="n"/>
      <c r="H539" s="2">
        <f>IF(G539&lt;&gt;"",G539,IF(AND(E539&lt;&gt;"",E539=F539,E539&lt;&gt;"unsure"),E539,""))</f>
        <v/>
      </c>
      <c r="I539" s="2">
        <f>IF(AND(OR(E539="met",E539="not_met"),OR(F539="met",F539="not_met")),1,0)</f>
        <v/>
      </c>
      <c r="J539" s="2">
        <f>IF(I539=1,IF(E539=F539,1,0),"")</f>
        <v/>
      </c>
      <c r="K539" s="2" t="n"/>
      <c r="L539" s="2" t="n"/>
      <c r="M539" s="2" t="n"/>
      <c r="N539" s="2">
        <f>IF(OR(K539="",H539=""),"",IF((K539="met")=(H539="met"),1,0))</f>
        <v/>
      </c>
      <c r="O539" s="2">
        <f>IF(OR(L539="",H539=""),"",IF((L539="met")=(H539="met"),1,0))</f>
        <v/>
      </c>
      <c r="P539" s="2">
        <f>IF(OR(M539="",H539=""),"",IF((M539="met")=(H539="met"),1,0))</f>
        <v/>
      </c>
    </row>
    <row r="540">
      <c r="A540" s="2" t="inlineStr">
        <is>
          <t>S051</t>
        </is>
      </c>
      <c r="B540" s="2">
        <f>Key!B540</f>
        <v/>
      </c>
      <c r="C540" s="2">
        <f>Key!C540</f>
        <v/>
      </c>
      <c r="D540" s="2">
        <f>IF(Key!D540="","",Key!D540)</f>
        <v/>
      </c>
      <c r="E540" s="2">
        <f>IF(Label_Standalone!C52="","",Label_Standalone!C52)</f>
        <v/>
      </c>
      <c r="F540" s="2">
        <f>IF(Label_Standalone!D52="","",Label_Standalone!D52)</f>
        <v/>
      </c>
      <c r="G540" s="5" t="n"/>
      <c r="H540" s="2">
        <f>IF(G540&lt;&gt;"",G540,IF(AND(E540&lt;&gt;"",E540=F540,E540&lt;&gt;"unsure"),E540,""))</f>
        <v/>
      </c>
      <c r="I540" s="2">
        <f>IF(AND(OR(E540="met",E540="not_met"),OR(F540="met",F540="not_met")),1,0)</f>
        <v/>
      </c>
      <c r="J540" s="2">
        <f>IF(I540=1,IF(E540=F540,1,0),"")</f>
        <v/>
      </c>
      <c r="K540" s="2" t="n"/>
      <c r="L540" s="2" t="n"/>
      <c r="M540" s="2" t="n"/>
      <c r="N540" s="2">
        <f>IF(OR(K540="",H540=""),"",IF((K540="met")=(H540="met"),1,0))</f>
        <v/>
      </c>
      <c r="O540" s="2">
        <f>IF(OR(L540="",H540=""),"",IF((L540="met")=(H540="met"),1,0))</f>
        <v/>
      </c>
      <c r="P540" s="2">
        <f>IF(OR(M540="",H540=""),"",IF((M540="met")=(H540="met"),1,0))</f>
        <v/>
      </c>
    </row>
    <row r="541">
      <c r="A541" s="2" t="inlineStr">
        <is>
          <t>S052</t>
        </is>
      </c>
      <c r="B541" s="2">
        <f>Key!B541</f>
        <v/>
      </c>
      <c r="C541" s="2">
        <f>Key!C541</f>
        <v/>
      </c>
      <c r="D541" s="2">
        <f>IF(Key!D541="","",Key!D541)</f>
        <v/>
      </c>
      <c r="E541" s="2">
        <f>IF(Label_Standalone!C53="","",Label_Standalone!C53)</f>
        <v/>
      </c>
      <c r="F541" s="2">
        <f>IF(Label_Standalone!D53="","",Label_Standalone!D53)</f>
        <v/>
      </c>
      <c r="G541" s="5" t="n"/>
      <c r="H541" s="2">
        <f>IF(G541&lt;&gt;"",G541,IF(AND(E541&lt;&gt;"",E541=F541,E541&lt;&gt;"unsure"),E541,""))</f>
        <v/>
      </c>
      <c r="I541" s="2">
        <f>IF(AND(OR(E541="met",E541="not_met"),OR(F541="met",F541="not_met")),1,0)</f>
        <v/>
      </c>
      <c r="J541" s="2">
        <f>IF(I541=1,IF(E541=F541,1,0),"")</f>
        <v/>
      </c>
      <c r="K541" s="2" t="n"/>
      <c r="L541" s="2" t="n"/>
      <c r="M541" s="2" t="n"/>
      <c r="N541" s="2">
        <f>IF(OR(K541="",H541=""),"",IF((K541="met")=(H541="met"),1,0))</f>
        <v/>
      </c>
      <c r="O541" s="2">
        <f>IF(OR(L541="",H541=""),"",IF((L541="met")=(H541="met"),1,0))</f>
        <v/>
      </c>
      <c r="P541" s="2">
        <f>IF(OR(M541="",H541=""),"",IF((M541="met")=(H541="met"),1,0))</f>
        <v/>
      </c>
    </row>
    <row r="542">
      <c r="A542" s="2" t="inlineStr">
        <is>
          <t>S053</t>
        </is>
      </c>
      <c r="B542" s="2">
        <f>Key!B542</f>
        <v/>
      </c>
      <c r="C542" s="2">
        <f>Key!C542</f>
        <v/>
      </c>
      <c r="D542" s="2">
        <f>IF(Key!D542="","",Key!D542)</f>
        <v/>
      </c>
      <c r="E542" s="2">
        <f>IF(Label_Standalone!C54="","",Label_Standalone!C54)</f>
        <v/>
      </c>
      <c r="F542" s="2">
        <f>IF(Label_Standalone!D54="","",Label_Standalone!D54)</f>
        <v/>
      </c>
      <c r="G542" s="5" t="n"/>
      <c r="H542" s="2">
        <f>IF(G542&lt;&gt;"",G542,IF(AND(E542&lt;&gt;"",E542=F542,E542&lt;&gt;"unsure"),E542,""))</f>
        <v/>
      </c>
      <c r="I542" s="2">
        <f>IF(AND(OR(E542="met",E542="not_met"),OR(F542="met",F542="not_met")),1,0)</f>
        <v/>
      </c>
      <c r="J542" s="2">
        <f>IF(I542=1,IF(E542=F542,1,0),"")</f>
        <v/>
      </c>
      <c r="K542" s="2" t="n"/>
      <c r="L542" s="2" t="n"/>
      <c r="M542" s="2" t="n"/>
      <c r="N542" s="2">
        <f>IF(OR(K542="",H542=""),"",IF((K542="met")=(H542="met"),1,0))</f>
        <v/>
      </c>
      <c r="O542" s="2">
        <f>IF(OR(L542="",H542=""),"",IF((L542="met")=(H542="met"),1,0))</f>
        <v/>
      </c>
      <c r="P542" s="2">
        <f>IF(OR(M542="",H542=""),"",IF((M542="met")=(H542="met"),1,0))</f>
        <v/>
      </c>
    </row>
    <row r="543">
      <c r="A543" s="2" t="inlineStr">
        <is>
          <t>S054</t>
        </is>
      </c>
      <c r="B543" s="2">
        <f>Key!B543</f>
        <v/>
      </c>
      <c r="C543" s="2">
        <f>Key!C543</f>
        <v/>
      </c>
      <c r="D543" s="2">
        <f>IF(Key!D543="","",Key!D543)</f>
        <v/>
      </c>
      <c r="E543" s="2">
        <f>IF(Label_Standalone!C55="","",Label_Standalone!C55)</f>
        <v/>
      </c>
      <c r="F543" s="2">
        <f>IF(Label_Standalone!D55="","",Label_Standalone!D55)</f>
        <v/>
      </c>
      <c r="G543" s="5" t="n"/>
      <c r="H543" s="2">
        <f>IF(G543&lt;&gt;"",G543,IF(AND(E543&lt;&gt;"",E543=F543,E543&lt;&gt;"unsure"),E543,""))</f>
        <v/>
      </c>
      <c r="I543" s="2">
        <f>IF(AND(OR(E543="met",E543="not_met"),OR(F543="met",F543="not_met")),1,0)</f>
        <v/>
      </c>
      <c r="J543" s="2">
        <f>IF(I543=1,IF(E543=F543,1,0),"")</f>
        <v/>
      </c>
      <c r="K543" s="2" t="n"/>
      <c r="L543" s="2" t="n"/>
      <c r="M543" s="2" t="n"/>
      <c r="N543" s="2">
        <f>IF(OR(K543="",H543=""),"",IF((K543="met")=(H543="met"),1,0))</f>
        <v/>
      </c>
      <c r="O543" s="2">
        <f>IF(OR(L543="",H543=""),"",IF((L543="met")=(H543="met"),1,0))</f>
        <v/>
      </c>
      <c r="P543" s="2">
        <f>IF(OR(M543="",H543=""),"",IF((M543="met")=(H543="met"),1,0))</f>
        <v/>
      </c>
    </row>
    <row r="544">
      <c r="A544" s="2" t="inlineStr">
        <is>
          <t>S055</t>
        </is>
      </c>
      <c r="B544" s="2">
        <f>Key!B544</f>
        <v/>
      </c>
      <c r="C544" s="2">
        <f>Key!C544</f>
        <v/>
      </c>
      <c r="D544" s="2">
        <f>IF(Key!D544="","",Key!D544)</f>
        <v/>
      </c>
      <c r="E544" s="2">
        <f>IF(Label_Standalone!C56="","",Label_Standalone!C56)</f>
        <v/>
      </c>
      <c r="F544" s="2">
        <f>IF(Label_Standalone!D56="","",Label_Standalone!D56)</f>
        <v/>
      </c>
      <c r="G544" s="5" t="n"/>
      <c r="H544" s="2">
        <f>IF(G544&lt;&gt;"",G544,IF(AND(E544&lt;&gt;"",E544=F544,E544&lt;&gt;"unsure"),E544,""))</f>
        <v/>
      </c>
      <c r="I544" s="2">
        <f>IF(AND(OR(E544="met",E544="not_met"),OR(F544="met",F544="not_met")),1,0)</f>
        <v/>
      </c>
      <c r="J544" s="2">
        <f>IF(I544=1,IF(E544=F544,1,0),"")</f>
        <v/>
      </c>
      <c r="K544" s="2" t="n"/>
      <c r="L544" s="2" t="n"/>
      <c r="M544" s="2" t="n"/>
      <c r="N544" s="2">
        <f>IF(OR(K544="",H544=""),"",IF((K544="met")=(H544="met"),1,0))</f>
        <v/>
      </c>
      <c r="O544" s="2">
        <f>IF(OR(L544="",H544=""),"",IF((L544="met")=(H544="met"),1,0))</f>
        <v/>
      </c>
      <c r="P544" s="2">
        <f>IF(OR(M544="",H544=""),"",IF((M544="met")=(H544="met"),1,0))</f>
        <v/>
      </c>
    </row>
    <row r="545">
      <c r="A545" s="2" t="inlineStr">
        <is>
          <t>S056</t>
        </is>
      </c>
      <c r="B545" s="2">
        <f>Key!B545</f>
        <v/>
      </c>
      <c r="C545" s="2">
        <f>Key!C545</f>
        <v/>
      </c>
      <c r="D545" s="2">
        <f>IF(Key!D545="","",Key!D545)</f>
        <v/>
      </c>
      <c r="E545" s="2">
        <f>IF(Label_Standalone!C57="","",Label_Standalone!C57)</f>
        <v/>
      </c>
      <c r="F545" s="2">
        <f>IF(Label_Standalone!D57="","",Label_Standalone!D57)</f>
        <v/>
      </c>
      <c r="G545" s="5" t="n"/>
      <c r="H545" s="2">
        <f>IF(G545&lt;&gt;"",G545,IF(AND(E545&lt;&gt;"",E545=F545,E545&lt;&gt;"unsure"),E545,""))</f>
        <v/>
      </c>
      <c r="I545" s="2">
        <f>IF(AND(OR(E545="met",E545="not_met"),OR(F545="met",F545="not_met")),1,0)</f>
        <v/>
      </c>
      <c r="J545" s="2">
        <f>IF(I545=1,IF(E545=F545,1,0),"")</f>
        <v/>
      </c>
      <c r="K545" s="2" t="n"/>
      <c r="L545" s="2" t="n"/>
      <c r="M545" s="2" t="n"/>
      <c r="N545" s="2">
        <f>IF(OR(K545="",H545=""),"",IF((K545="met")=(H545="met"),1,0))</f>
        <v/>
      </c>
      <c r="O545" s="2">
        <f>IF(OR(L545="",H545=""),"",IF((L545="met")=(H545="met"),1,0))</f>
        <v/>
      </c>
      <c r="P545" s="2">
        <f>IF(OR(M545="",H545=""),"",IF((M545="met")=(H545="met"),1,0))</f>
        <v/>
      </c>
    </row>
    <row r="546">
      <c r="A546" s="2" t="inlineStr">
        <is>
          <t>S057</t>
        </is>
      </c>
      <c r="B546" s="2">
        <f>Key!B546</f>
        <v/>
      </c>
      <c r="C546" s="2">
        <f>Key!C546</f>
        <v/>
      </c>
      <c r="D546" s="2">
        <f>IF(Key!D546="","",Key!D546)</f>
        <v/>
      </c>
      <c r="E546" s="2">
        <f>IF(Label_Standalone!C58="","",Label_Standalone!C58)</f>
        <v/>
      </c>
      <c r="F546" s="2">
        <f>IF(Label_Standalone!D58="","",Label_Standalone!D58)</f>
        <v/>
      </c>
      <c r="G546" s="5" t="n"/>
      <c r="H546" s="2">
        <f>IF(G546&lt;&gt;"",G546,IF(AND(E546&lt;&gt;"",E546=F546,E546&lt;&gt;"unsure"),E546,""))</f>
        <v/>
      </c>
      <c r="I546" s="2">
        <f>IF(AND(OR(E546="met",E546="not_met"),OR(F546="met",F546="not_met")),1,0)</f>
        <v/>
      </c>
      <c r="J546" s="2">
        <f>IF(I546=1,IF(E546=F546,1,0),"")</f>
        <v/>
      </c>
      <c r="K546" s="2" t="n"/>
      <c r="L546" s="2" t="n"/>
      <c r="M546" s="2" t="n"/>
      <c r="N546" s="2">
        <f>IF(OR(K546="",H546=""),"",IF((K546="met")=(H546="met"),1,0))</f>
        <v/>
      </c>
      <c r="O546" s="2">
        <f>IF(OR(L546="",H546=""),"",IF((L546="met")=(H546="met"),1,0))</f>
        <v/>
      </c>
      <c r="P546" s="2">
        <f>IF(OR(M546="",H546=""),"",IF((M546="met")=(H546="met"),1,0))</f>
        <v/>
      </c>
    </row>
    <row r="547">
      <c r="A547" s="2" t="inlineStr">
        <is>
          <t>S058</t>
        </is>
      </c>
      <c r="B547" s="2">
        <f>Key!B547</f>
        <v/>
      </c>
      <c r="C547" s="2">
        <f>Key!C547</f>
        <v/>
      </c>
      <c r="D547" s="2">
        <f>IF(Key!D547="","",Key!D547)</f>
        <v/>
      </c>
      <c r="E547" s="2">
        <f>IF(Label_Standalone!C59="","",Label_Standalone!C59)</f>
        <v/>
      </c>
      <c r="F547" s="2">
        <f>IF(Label_Standalone!D59="","",Label_Standalone!D59)</f>
        <v/>
      </c>
      <c r="G547" s="5" t="n"/>
      <c r="H547" s="2">
        <f>IF(G547&lt;&gt;"",G547,IF(AND(E547&lt;&gt;"",E547=F547,E547&lt;&gt;"unsure"),E547,""))</f>
        <v/>
      </c>
      <c r="I547" s="2">
        <f>IF(AND(OR(E547="met",E547="not_met"),OR(F547="met",F547="not_met")),1,0)</f>
        <v/>
      </c>
      <c r="J547" s="2">
        <f>IF(I547=1,IF(E547=F547,1,0),"")</f>
        <v/>
      </c>
      <c r="K547" s="2" t="n"/>
      <c r="L547" s="2" t="n"/>
      <c r="M547" s="2" t="n"/>
      <c r="N547" s="2">
        <f>IF(OR(K547="",H547=""),"",IF((K547="met")=(H547="met"),1,0))</f>
        <v/>
      </c>
      <c r="O547" s="2">
        <f>IF(OR(L547="",H547=""),"",IF((L547="met")=(H547="met"),1,0))</f>
        <v/>
      </c>
      <c r="P547" s="2">
        <f>IF(OR(M547="",H547=""),"",IF((M547="met")=(H547="met"),1,0))</f>
        <v/>
      </c>
    </row>
    <row r="548">
      <c r="A548" s="2" t="inlineStr">
        <is>
          <t>S059</t>
        </is>
      </c>
      <c r="B548" s="2">
        <f>Key!B548</f>
        <v/>
      </c>
      <c r="C548" s="2">
        <f>Key!C548</f>
        <v/>
      </c>
      <c r="D548" s="2">
        <f>IF(Key!D548="","",Key!D548)</f>
        <v/>
      </c>
      <c r="E548" s="2">
        <f>IF(Label_Standalone!C60="","",Label_Standalone!C60)</f>
        <v/>
      </c>
      <c r="F548" s="2">
        <f>IF(Label_Standalone!D60="","",Label_Standalone!D60)</f>
        <v/>
      </c>
      <c r="G548" s="5" t="n"/>
      <c r="H548" s="2">
        <f>IF(G548&lt;&gt;"",G548,IF(AND(E548&lt;&gt;"",E548=F548,E548&lt;&gt;"unsure"),E548,""))</f>
        <v/>
      </c>
      <c r="I548" s="2">
        <f>IF(AND(OR(E548="met",E548="not_met"),OR(F548="met",F548="not_met")),1,0)</f>
        <v/>
      </c>
      <c r="J548" s="2">
        <f>IF(I548=1,IF(E548=F548,1,0),"")</f>
        <v/>
      </c>
      <c r="K548" s="2" t="n"/>
      <c r="L548" s="2" t="n"/>
      <c r="M548" s="2" t="n"/>
      <c r="N548" s="2">
        <f>IF(OR(K548="",H548=""),"",IF((K548="met")=(H548="met"),1,0))</f>
        <v/>
      </c>
      <c r="O548" s="2">
        <f>IF(OR(L548="",H548=""),"",IF((L548="met")=(H548="met"),1,0))</f>
        <v/>
      </c>
      <c r="P548" s="2">
        <f>IF(OR(M548="",H548=""),"",IF((M548="met")=(H548="met"),1,0))</f>
        <v/>
      </c>
    </row>
    <row r="549">
      <c r="A549" s="2" t="inlineStr">
        <is>
          <t>S060</t>
        </is>
      </c>
      <c r="B549" s="2">
        <f>Key!B549</f>
        <v/>
      </c>
      <c r="C549" s="2">
        <f>Key!C549</f>
        <v/>
      </c>
      <c r="D549" s="2">
        <f>IF(Key!D549="","",Key!D549)</f>
        <v/>
      </c>
      <c r="E549" s="2">
        <f>IF(Label_Standalone!C61="","",Label_Standalone!C61)</f>
        <v/>
      </c>
      <c r="F549" s="2">
        <f>IF(Label_Standalone!D61="","",Label_Standalone!D61)</f>
        <v/>
      </c>
      <c r="G549" s="5" t="n"/>
      <c r="H549" s="2">
        <f>IF(G549&lt;&gt;"",G549,IF(AND(E549&lt;&gt;"",E549=F549,E549&lt;&gt;"unsure"),E549,""))</f>
        <v/>
      </c>
      <c r="I549" s="2">
        <f>IF(AND(OR(E549="met",E549="not_met"),OR(F549="met",F549="not_met")),1,0)</f>
        <v/>
      </c>
      <c r="J549" s="2">
        <f>IF(I549=1,IF(E549=F549,1,0),"")</f>
        <v/>
      </c>
      <c r="K549" s="2" t="n"/>
      <c r="L549" s="2" t="n"/>
      <c r="M549" s="2" t="n"/>
      <c r="N549" s="2">
        <f>IF(OR(K549="",H549=""),"",IF((K549="met")=(H549="met"),1,0))</f>
        <v/>
      </c>
      <c r="O549" s="2">
        <f>IF(OR(L549="",H549=""),"",IF((L549="met")=(H549="met"),1,0))</f>
        <v/>
      </c>
      <c r="P549" s="2">
        <f>IF(OR(M549="",H549=""),"",IF((M549="met")=(H549="met"),1,0))</f>
        <v/>
      </c>
    </row>
    <row r="550">
      <c r="A550" s="2" t="inlineStr">
        <is>
          <t>S061</t>
        </is>
      </c>
      <c r="B550" s="2">
        <f>Key!B550</f>
        <v/>
      </c>
      <c r="C550" s="2">
        <f>Key!C550</f>
        <v/>
      </c>
      <c r="D550" s="2">
        <f>IF(Key!D550="","",Key!D550)</f>
        <v/>
      </c>
      <c r="E550" s="2">
        <f>IF(Label_Standalone!C62="","",Label_Standalone!C62)</f>
        <v/>
      </c>
      <c r="F550" s="2">
        <f>IF(Label_Standalone!D62="","",Label_Standalone!D62)</f>
        <v/>
      </c>
      <c r="G550" s="5" t="n"/>
      <c r="H550" s="2">
        <f>IF(G550&lt;&gt;"",G550,IF(AND(E550&lt;&gt;"",E550=F550,E550&lt;&gt;"unsure"),E550,""))</f>
        <v/>
      </c>
      <c r="I550" s="2">
        <f>IF(AND(OR(E550="met",E550="not_met"),OR(F550="met",F550="not_met")),1,0)</f>
        <v/>
      </c>
      <c r="J550" s="2">
        <f>IF(I550=1,IF(E550=F550,1,0),"")</f>
        <v/>
      </c>
      <c r="K550" s="2" t="n"/>
      <c r="L550" s="2" t="n"/>
      <c r="M550" s="2" t="n"/>
      <c r="N550" s="2">
        <f>IF(OR(K550="",H550=""),"",IF((K550="met")=(H550="met"),1,0))</f>
        <v/>
      </c>
      <c r="O550" s="2">
        <f>IF(OR(L550="",H550=""),"",IF((L550="met")=(H550="met"),1,0))</f>
        <v/>
      </c>
      <c r="P550" s="2">
        <f>IF(OR(M550="",H550=""),"",IF((M550="met")=(H550="met"),1,0))</f>
        <v/>
      </c>
    </row>
    <row r="551">
      <c r="A551" s="2" t="inlineStr">
        <is>
          <t>S062</t>
        </is>
      </c>
      <c r="B551" s="2">
        <f>Key!B551</f>
        <v/>
      </c>
      <c r="C551" s="2">
        <f>Key!C551</f>
        <v/>
      </c>
      <c r="D551" s="2">
        <f>IF(Key!D551="","",Key!D551)</f>
        <v/>
      </c>
      <c r="E551" s="2">
        <f>IF(Label_Standalone!C63="","",Label_Standalone!C63)</f>
        <v/>
      </c>
      <c r="F551" s="2">
        <f>IF(Label_Standalone!D63="","",Label_Standalone!D63)</f>
        <v/>
      </c>
      <c r="G551" s="5" t="n"/>
      <c r="H551" s="2">
        <f>IF(G551&lt;&gt;"",G551,IF(AND(E551&lt;&gt;"",E551=F551,E551&lt;&gt;"unsure"),E551,""))</f>
        <v/>
      </c>
      <c r="I551" s="2">
        <f>IF(AND(OR(E551="met",E551="not_met"),OR(F551="met",F551="not_met")),1,0)</f>
        <v/>
      </c>
      <c r="J551" s="2">
        <f>IF(I551=1,IF(E551=F551,1,0),"")</f>
        <v/>
      </c>
      <c r="K551" s="2" t="n"/>
      <c r="L551" s="2" t="n"/>
      <c r="M551" s="2" t="n"/>
      <c r="N551" s="2">
        <f>IF(OR(K551="",H551=""),"",IF((K551="met")=(H551="met"),1,0))</f>
        <v/>
      </c>
      <c r="O551" s="2">
        <f>IF(OR(L551="",H551=""),"",IF((L551="met")=(H551="met"),1,0))</f>
        <v/>
      </c>
      <c r="P551" s="2">
        <f>IF(OR(M551="",H551=""),"",IF((M551="met")=(H551="met"),1,0))</f>
        <v/>
      </c>
    </row>
    <row r="552">
      <c r="A552" s="2" t="inlineStr">
        <is>
          <t>S063</t>
        </is>
      </c>
      <c r="B552" s="2">
        <f>Key!B552</f>
        <v/>
      </c>
      <c r="C552" s="2">
        <f>Key!C552</f>
        <v/>
      </c>
      <c r="D552" s="2">
        <f>IF(Key!D552="","",Key!D552)</f>
        <v/>
      </c>
      <c r="E552" s="2">
        <f>IF(Label_Standalone!C64="","",Label_Standalone!C64)</f>
        <v/>
      </c>
      <c r="F552" s="2">
        <f>IF(Label_Standalone!D64="","",Label_Standalone!D64)</f>
        <v/>
      </c>
      <c r="G552" s="5" t="n"/>
      <c r="H552" s="2">
        <f>IF(G552&lt;&gt;"",G552,IF(AND(E552&lt;&gt;"",E552=F552,E552&lt;&gt;"unsure"),E552,""))</f>
        <v/>
      </c>
      <c r="I552" s="2">
        <f>IF(AND(OR(E552="met",E552="not_met"),OR(F552="met",F552="not_met")),1,0)</f>
        <v/>
      </c>
      <c r="J552" s="2">
        <f>IF(I552=1,IF(E552=F552,1,0),"")</f>
        <v/>
      </c>
      <c r="K552" s="2" t="n"/>
      <c r="L552" s="2" t="n"/>
      <c r="M552" s="2" t="n"/>
      <c r="N552" s="2">
        <f>IF(OR(K552="",H552=""),"",IF((K552="met")=(H552="met"),1,0))</f>
        <v/>
      </c>
      <c r="O552" s="2">
        <f>IF(OR(L552="",H552=""),"",IF((L552="met")=(H552="met"),1,0))</f>
        <v/>
      </c>
      <c r="P552" s="2">
        <f>IF(OR(M552="",H552=""),"",IF((M552="met")=(H552="met"),1,0))</f>
        <v/>
      </c>
    </row>
    <row r="553">
      <c r="A553" s="2" t="inlineStr">
        <is>
          <t>S064</t>
        </is>
      </c>
      <c r="B553" s="2">
        <f>Key!B553</f>
        <v/>
      </c>
      <c r="C553" s="2">
        <f>Key!C553</f>
        <v/>
      </c>
      <c r="D553" s="2">
        <f>IF(Key!D553="","",Key!D553)</f>
        <v/>
      </c>
      <c r="E553" s="2">
        <f>IF(Label_Standalone!C65="","",Label_Standalone!C65)</f>
        <v/>
      </c>
      <c r="F553" s="2">
        <f>IF(Label_Standalone!D65="","",Label_Standalone!D65)</f>
        <v/>
      </c>
      <c r="G553" s="5" t="n"/>
      <c r="H553" s="2">
        <f>IF(G553&lt;&gt;"",G553,IF(AND(E553&lt;&gt;"",E553=F553,E553&lt;&gt;"unsure"),E553,""))</f>
        <v/>
      </c>
      <c r="I553" s="2">
        <f>IF(AND(OR(E553="met",E553="not_met"),OR(F553="met",F553="not_met")),1,0)</f>
        <v/>
      </c>
      <c r="J553" s="2">
        <f>IF(I553=1,IF(E553=F553,1,0),"")</f>
        <v/>
      </c>
      <c r="K553" s="2" t="n"/>
      <c r="L553" s="2" t="n"/>
      <c r="M553" s="2" t="n"/>
      <c r="N553" s="2">
        <f>IF(OR(K553="",H553=""),"",IF((K553="met")=(H553="met"),1,0))</f>
        <v/>
      </c>
      <c r="O553" s="2">
        <f>IF(OR(L553="",H553=""),"",IF((L553="met")=(H553="met"),1,0))</f>
        <v/>
      </c>
      <c r="P553" s="2">
        <f>IF(OR(M553="",H553=""),"",IF((M553="met")=(H553="met"),1,0))</f>
        <v/>
      </c>
    </row>
    <row r="554">
      <c r="A554" s="2" t="inlineStr">
        <is>
          <t>S065</t>
        </is>
      </c>
      <c r="B554" s="2">
        <f>Key!B554</f>
        <v/>
      </c>
      <c r="C554" s="2">
        <f>Key!C554</f>
        <v/>
      </c>
      <c r="D554" s="2">
        <f>IF(Key!D554="","",Key!D554)</f>
        <v/>
      </c>
      <c r="E554" s="2">
        <f>IF(Label_Standalone!C66="","",Label_Standalone!C66)</f>
        <v/>
      </c>
      <c r="F554" s="2">
        <f>IF(Label_Standalone!D66="","",Label_Standalone!D66)</f>
        <v/>
      </c>
      <c r="G554" s="5" t="n"/>
      <c r="H554" s="2">
        <f>IF(G554&lt;&gt;"",G554,IF(AND(E554&lt;&gt;"",E554=F554,E554&lt;&gt;"unsure"),E554,""))</f>
        <v/>
      </c>
      <c r="I554" s="2">
        <f>IF(AND(OR(E554="met",E554="not_met"),OR(F554="met",F554="not_met")),1,0)</f>
        <v/>
      </c>
      <c r="J554" s="2">
        <f>IF(I554=1,IF(E554=F554,1,0),"")</f>
        <v/>
      </c>
      <c r="K554" s="2" t="n"/>
      <c r="L554" s="2" t="n"/>
      <c r="M554" s="2" t="n"/>
      <c r="N554" s="2">
        <f>IF(OR(K554="",H554=""),"",IF((K554="met")=(H554="met"),1,0))</f>
        <v/>
      </c>
      <c r="O554" s="2">
        <f>IF(OR(L554="",H554=""),"",IF((L554="met")=(H554="met"),1,0))</f>
        <v/>
      </c>
      <c r="P554" s="2">
        <f>IF(OR(M554="",H554=""),"",IF((M554="met")=(H554="met"),1,0))</f>
        <v/>
      </c>
    </row>
    <row r="555">
      <c r="A555" s="2" t="inlineStr">
        <is>
          <t>S066</t>
        </is>
      </c>
      <c r="B555" s="2">
        <f>Key!B555</f>
        <v/>
      </c>
      <c r="C555" s="2">
        <f>Key!C555</f>
        <v/>
      </c>
      <c r="D555" s="2">
        <f>IF(Key!D555="","",Key!D555)</f>
        <v/>
      </c>
      <c r="E555" s="2">
        <f>IF(Label_Standalone!C67="","",Label_Standalone!C67)</f>
        <v/>
      </c>
      <c r="F555" s="2">
        <f>IF(Label_Standalone!D67="","",Label_Standalone!D67)</f>
        <v/>
      </c>
      <c r="G555" s="5" t="n"/>
      <c r="H555" s="2">
        <f>IF(G555&lt;&gt;"",G555,IF(AND(E555&lt;&gt;"",E555=F555,E555&lt;&gt;"unsure"),E555,""))</f>
        <v/>
      </c>
      <c r="I555" s="2">
        <f>IF(AND(OR(E555="met",E555="not_met"),OR(F555="met",F555="not_met")),1,0)</f>
        <v/>
      </c>
      <c r="J555" s="2">
        <f>IF(I555=1,IF(E555=F555,1,0),"")</f>
        <v/>
      </c>
      <c r="K555" s="2" t="n"/>
      <c r="L555" s="2" t="n"/>
      <c r="M555" s="2" t="n"/>
      <c r="N555" s="2">
        <f>IF(OR(K555="",H555=""),"",IF((K555="met")=(H555="met"),1,0))</f>
        <v/>
      </c>
      <c r="O555" s="2">
        <f>IF(OR(L555="",H555=""),"",IF((L555="met")=(H555="met"),1,0))</f>
        <v/>
      </c>
      <c r="P555" s="2">
        <f>IF(OR(M555="",H555=""),"",IF((M555="met")=(H555="met"),1,0))</f>
        <v/>
      </c>
    </row>
    <row r="556">
      <c r="A556" s="2" t="inlineStr">
        <is>
          <t>S067</t>
        </is>
      </c>
      <c r="B556" s="2">
        <f>Key!B556</f>
        <v/>
      </c>
      <c r="C556" s="2">
        <f>Key!C556</f>
        <v/>
      </c>
      <c r="D556" s="2">
        <f>IF(Key!D556="","",Key!D556)</f>
        <v/>
      </c>
      <c r="E556" s="2">
        <f>IF(Label_Standalone!C68="","",Label_Standalone!C68)</f>
        <v/>
      </c>
      <c r="F556" s="2">
        <f>IF(Label_Standalone!D68="","",Label_Standalone!D68)</f>
        <v/>
      </c>
      <c r="G556" s="5" t="n"/>
      <c r="H556" s="2">
        <f>IF(G556&lt;&gt;"",G556,IF(AND(E556&lt;&gt;"",E556=F556,E556&lt;&gt;"unsure"),E556,""))</f>
        <v/>
      </c>
      <c r="I556" s="2">
        <f>IF(AND(OR(E556="met",E556="not_met"),OR(F556="met",F556="not_met")),1,0)</f>
        <v/>
      </c>
      <c r="J556" s="2">
        <f>IF(I556=1,IF(E556=F556,1,0),"")</f>
        <v/>
      </c>
      <c r="K556" s="2" t="n"/>
      <c r="L556" s="2" t="n"/>
      <c r="M556" s="2" t="n"/>
      <c r="N556" s="2">
        <f>IF(OR(K556="",H556=""),"",IF((K556="met")=(H556="met"),1,0))</f>
        <v/>
      </c>
      <c r="O556" s="2">
        <f>IF(OR(L556="",H556=""),"",IF((L556="met")=(H556="met"),1,0))</f>
        <v/>
      </c>
      <c r="P556" s="2">
        <f>IF(OR(M556="",H556=""),"",IF((M556="met")=(H556="met"),1,0))</f>
        <v/>
      </c>
    </row>
    <row r="557">
      <c r="A557" s="2" t="inlineStr">
        <is>
          <t>S068</t>
        </is>
      </c>
      <c r="B557" s="2">
        <f>Key!B557</f>
        <v/>
      </c>
      <c r="C557" s="2">
        <f>Key!C557</f>
        <v/>
      </c>
      <c r="D557" s="2">
        <f>IF(Key!D557="","",Key!D557)</f>
        <v/>
      </c>
      <c r="E557" s="2">
        <f>IF(Label_Standalone!C69="","",Label_Standalone!C69)</f>
        <v/>
      </c>
      <c r="F557" s="2">
        <f>IF(Label_Standalone!D69="","",Label_Standalone!D69)</f>
        <v/>
      </c>
      <c r="G557" s="5" t="n"/>
      <c r="H557" s="2">
        <f>IF(G557&lt;&gt;"",G557,IF(AND(E557&lt;&gt;"",E557=F557,E557&lt;&gt;"unsure"),E557,""))</f>
        <v/>
      </c>
      <c r="I557" s="2">
        <f>IF(AND(OR(E557="met",E557="not_met"),OR(F557="met",F557="not_met")),1,0)</f>
        <v/>
      </c>
      <c r="J557" s="2">
        <f>IF(I557=1,IF(E557=F557,1,0),"")</f>
        <v/>
      </c>
      <c r="K557" s="2" t="n"/>
      <c r="L557" s="2" t="n"/>
      <c r="M557" s="2" t="n"/>
      <c r="N557" s="2">
        <f>IF(OR(K557="",H557=""),"",IF((K557="met")=(H557="met"),1,0))</f>
        <v/>
      </c>
      <c r="O557" s="2">
        <f>IF(OR(L557="",H557=""),"",IF((L557="met")=(H557="met"),1,0))</f>
        <v/>
      </c>
      <c r="P557" s="2">
        <f>IF(OR(M557="",H557=""),"",IF((M557="met")=(H557="met"),1,0))</f>
        <v/>
      </c>
    </row>
    <row r="558">
      <c r="A558" s="2" t="inlineStr">
        <is>
          <t>S069</t>
        </is>
      </c>
      <c r="B558" s="2">
        <f>Key!B558</f>
        <v/>
      </c>
      <c r="C558" s="2">
        <f>Key!C558</f>
        <v/>
      </c>
      <c r="D558" s="2">
        <f>IF(Key!D558="","",Key!D558)</f>
        <v/>
      </c>
      <c r="E558" s="2">
        <f>IF(Label_Standalone!C70="","",Label_Standalone!C70)</f>
        <v/>
      </c>
      <c r="F558" s="2">
        <f>IF(Label_Standalone!D70="","",Label_Standalone!D70)</f>
        <v/>
      </c>
      <c r="G558" s="5" t="n"/>
      <c r="H558" s="2">
        <f>IF(G558&lt;&gt;"",G558,IF(AND(E558&lt;&gt;"",E558=F558,E558&lt;&gt;"unsure"),E558,""))</f>
        <v/>
      </c>
      <c r="I558" s="2">
        <f>IF(AND(OR(E558="met",E558="not_met"),OR(F558="met",F558="not_met")),1,0)</f>
        <v/>
      </c>
      <c r="J558" s="2">
        <f>IF(I558=1,IF(E558=F558,1,0),"")</f>
        <v/>
      </c>
      <c r="K558" s="2" t="n"/>
      <c r="L558" s="2" t="n"/>
      <c r="M558" s="2" t="n"/>
      <c r="N558" s="2">
        <f>IF(OR(K558="",H558=""),"",IF((K558="met")=(H558="met"),1,0))</f>
        <v/>
      </c>
      <c r="O558" s="2">
        <f>IF(OR(L558="",H558=""),"",IF((L558="met")=(H558="met"),1,0))</f>
        <v/>
      </c>
      <c r="P558" s="2">
        <f>IF(OR(M558="",H558=""),"",IF((M558="met")=(H558="met"),1,0))</f>
        <v/>
      </c>
    </row>
    <row r="559">
      <c r="A559" s="2" t="inlineStr">
        <is>
          <t>S070</t>
        </is>
      </c>
      <c r="B559" s="2">
        <f>Key!B559</f>
        <v/>
      </c>
      <c r="C559" s="2">
        <f>Key!C559</f>
        <v/>
      </c>
      <c r="D559" s="2">
        <f>IF(Key!D559="","",Key!D559)</f>
        <v/>
      </c>
      <c r="E559" s="2">
        <f>IF(Label_Standalone!C71="","",Label_Standalone!C71)</f>
        <v/>
      </c>
      <c r="F559" s="2">
        <f>IF(Label_Standalone!D71="","",Label_Standalone!D71)</f>
        <v/>
      </c>
      <c r="G559" s="5" t="n"/>
      <c r="H559" s="2">
        <f>IF(G559&lt;&gt;"",G559,IF(AND(E559&lt;&gt;"",E559=F559,E559&lt;&gt;"unsure"),E559,""))</f>
        <v/>
      </c>
      <c r="I559" s="2">
        <f>IF(AND(OR(E559="met",E559="not_met"),OR(F559="met",F559="not_met")),1,0)</f>
        <v/>
      </c>
      <c r="J559" s="2">
        <f>IF(I559=1,IF(E559=F559,1,0),"")</f>
        <v/>
      </c>
      <c r="K559" s="2" t="n"/>
      <c r="L559" s="2" t="n"/>
      <c r="M559" s="2" t="n"/>
      <c r="N559" s="2">
        <f>IF(OR(K559="",H559=""),"",IF((K559="met")=(H559="met"),1,0))</f>
        <v/>
      </c>
      <c r="O559" s="2">
        <f>IF(OR(L559="",H559=""),"",IF((L559="met")=(H559="met"),1,0))</f>
        <v/>
      </c>
      <c r="P559" s="2">
        <f>IF(OR(M559="",H559=""),"",IF((M559="met")=(H559="met"),1,0))</f>
        <v/>
      </c>
    </row>
    <row r="560">
      <c r="A560" s="2" t="inlineStr">
        <is>
          <t>S071</t>
        </is>
      </c>
      <c r="B560" s="2">
        <f>Key!B560</f>
        <v/>
      </c>
      <c r="C560" s="2">
        <f>Key!C560</f>
        <v/>
      </c>
      <c r="D560" s="2">
        <f>IF(Key!D560="","",Key!D560)</f>
        <v/>
      </c>
      <c r="E560" s="2">
        <f>IF(Label_Standalone!C72="","",Label_Standalone!C72)</f>
        <v/>
      </c>
      <c r="F560" s="2">
        <f>IF(Label_Standalone!D72="","",Label_Standalone!D72)</f>
        <v/>
      </c>
      <c r="G560" s="5" t="n"/>
      <c r="H560" s="2">
        <f>IF(G560&lt;&gt;"",G560,IF(AND(E560&lt;&gt;"",E560=F560,E560&lt;&gt;"unsure"),E560,""))</f>
        <v/>
      </c>
      <c r="I560" s="2">
        <f>IF(AND(OR(E560="met",E560="not_met"),OR(F560="met",F560="not_met")),1,0)</f>
        <v/>
      </c>
      <c r="J560" s="2">
        <f>IF(I560=1,IF(E560=F560,1,0),"")</f>
        <v/>
      </c>
      <c r="K560" s="2" t="n"/>
      <c r="L560" s="2" t="n"/>
      <c r="M560" s="2" t="n"/>
      <c r="N560" s="2">
        <f>IF(OR(K560="",H560=""),"",IF((K560="met")=(H560="met"),1,0))</f>
        <v/>
      </c>
      <c r="O560" s="2">
        <f>IF(OR(L560="",H560=""),"",IF((L560="met")=(H560="met"),1,0))</f>
        <v/>
      </c>
      <c r="P560" s="2">
        <f>IF(OR(M560="",H560=""),"",IF((M560="met")=(H560="met"),1,0))</f>
        <v/>
      </c>
    </row>
    <row r="561">
      <c r="A561" s="2" t="inlineStr">
        <is>
          <t>S072</t>
        </is>
      </c>
      <c r="B561" s="2">
        <f>Key!B561</f>
        <v/>
      </c>
      <c r="C561" s="2">
        <f>Key!C561</f>
        <v/>
      </c>
      <c r="D561" s="2">
        <f>IF(Key!D561="","",Key!D561)</f>
        <v/>
      </c>
      <c r="E561" s="2">
        <f>IF(Label_Standalone!C73="","",Label_Standalone!C73)</f>
        <v/>
      </c>
      <c r="F561" s="2">
        <f>IF(Label_Standalone!D73="","",Label_Standalone!D73)</f>
        <v/>
      </c>
      <c r="G561" s="5" t="n"/>
      <c r="H561" s="2">
        <f>IF(G561&lt;&gt;"",G561,IF(AND(E561&lt;&gt;"",E561=F561,E561&lt;&gt;"unsure"),E561,""))</f>
        <v/>
      </c>
      <c r="I561" s="2">
        <f>IF(AND(OR(E561="met",E561="not_met"),OR(F561="met",F561="not_met")),1,0)</f>
        <v/>
      </c>
      <c r="J561" s="2">
        <f>IF(I561=1,IF(E561=F561,1,0),"")</f>
        <v/>
      </c>
      <c r="K561" s="2" t="n"/>
      <c r="L561" s="2" t="n"/>
      <c r="M561" s="2" t="n"/>
      <c r="N561" s="2">
        <f>IF(OR(K561="",H561=""),"",IF((K561="met")=(H561="met"),1,0))</f>
        <v/>
      </c>
      <c r="O561" s="2">
        <f>IF(OR(L561="",H561=""),"",IF((L561="met")=(H561="met"),1,0))</f>
        <v/>
      </c>
      <c r="P561" s="2">
        <f>IF(OR(M561="",H561=""),"",IF((M561="met")=(H561="met"),1,0))</f>
        <v/>
      </c>
    </row>
    <row r="562">
      <c r="A562" s="2" t="inlineStr">
        <is>
          <t>S073</t>
        </is>
      </c>
      <c r="B562" s="2">
        <f>Key!B562</f>
        <v/>
      </c>
      <c r="C562" s="2">
        <f>Key!C562</f>
        <v/>
      </c>
      <c r="D562" s="2">
        <f>IF(Key!D562="","",Key!D562)</f>
        <v/>
      </c>
      <c r="E562" s="2">
        <f>IF(Label_Standalone!C74="","",Label_Standalone!C74)</f>
        <v/>
      </c>
      <c r="F562" s="2">
        <f>IF(Label_Standalone!D74="","",Label_Standalone!D74)</f>
        <v/>
      </c>
      <c r="G562" s="5" t="n"/>
      <c r="H562" s="2">
        <f>IF(G562&lt;&gt;"",G562,IF(AND(E562&lt;&gt;"",E562=F562,E562&lt;&gt;"unsure"),E562,""))</f>
        <v/>
      </c>
      <c r="I562" s="2">
        <f>IF(AND(OR(E562="met",E562="not_met"),OR(F562="met",F562="not_met")),1,0)</f>
        <v/>
      </c>
      <c r="J562" s="2">
        <f>IF(I562=1,IF(E562=F562,1,0),"")</f>
        <v/>
      </c>
      <c r="K562" s="2" t="n"/>
      <c r="L562" s="2" t="n"/>
      <c r="M562" s="2" t="n"/>
      <c r="N562" s="2">
        <f>IF(OR(K562="",H562=""),"",IF((K562="met")=(H562="met"),1,0))</f>
        <v/>
      </c>
      <c r="O562" s="2">
        <f>IF(OR(L562="",H562=""),"",IF((L562="met")=(H562="met"),1,0))</f>
        <v/>
      </c>
      <c r="P562" s="2">
        <f>IF(OR(M562="",H562=""),"",IF((M562="met")=(H562="met"),1,0))</f>
        <v/>
      </c>
    </row>
    <row r="563">
      <c r="A563" s="2" t="inlineStr">
        <is>
          <t>S074</t>
        </is>
      </c>
      <c r="B563" s="2">
        <f>Key!B563</f>
        <v/>
      </c>
      <c r="C563" s="2">
        <f>Key!C563</f>
        <v/>
      </c>
      <c r="D563" s="2">
        <f>IF(Key!D563="","",Key!D563)</f>
        <v/>
      </c>
      <c r="E563" s="2">
        <f>IF(Label_Standalone!C75="","",Label_Standalone!C75)</f>
        <v/>
      </c>
      <c r="F563" s="2">
        <f>IF(Label_Standalone!D75="","",Label_Standalone!D75)</f>
        <v/>
      </c>
      <c r="G563" s="5" t="n"/>
      <c r="H563" s="2">
        <f>IF(G563&lt;&gt;"",G563,IF(AND(E563&lt;&gt;"",E563=F563,E563&lt;&gt;"unsure"),E563,""))</f>
        <v/>
      </c>
      <c r="I563" s="2">
        <f>IF(AND(OR(E563="met",E563="not_met"),OR(F563="met",F563="not_met")),1,0)</f>
        <v/>
      </c>
      <c r="J563" s="2">
        <f>IF(I563=1,IF(E563=F563,1,0),"")</f>
        <v/>
      </c>
      <c r="K563" s="2" t="n"/>
      <c r="L563" s="2" t="n"/>
      <c r="M563" s="2" t="n"/>
      <c r="N563" s="2">
        <f>IF(OR(K563="",H563=""),"",IF((K563="met")=(H563="met"),1,0))</f>
        <v/>
      </c>
      <c r="O563" s="2">
        <f>IF(OR(L563="",H563=""),"",IF((L563="met")=(H563="met"),1,0))</f>
        <v/>
      </c>
      <c r="P563" s="2">
        <f>IF(OR(M563="",H563=""),"",IF((M563="met")=(H563="met"),1,0))</f>
        <v/>
      </c>
    </row>
    <row r="564">
      <c r="A564" s="2" t="inlineStr">
        <is>
          <t>S075</t>
        </is>
      </c>
      <c r="B564" s="2">
        <f>Key!B564</f>
        <v/>
      </c>
      <c r="C564" s="2">
        <f>Key!C564</f>
        <v/>
      </c>
      <c r="D564" s="2">
        <f>IF(Key!D564="","",Key!D564)</f>
        <v/>
      </c>
      <c r="E564" s="2">
        <f>IF(Label_Standalone!C76="","",Label_Standalone!C76)</f>
        <v/>
      </c>
      <c r="F564" s="2">
        <f>IF(Label_Standalone!D76="","",Label_Standalone!D76)</f>
        <v/>
      </c>
      <c r="G564" s="5" t="n"/>
      <c r="H564" s="2">
        <f>IF(G564&lt;&gt;"",G564,IF(AND(E564&lt;&gt;"",E564=F564,E564&lt;&gt;"unsure"),E564,""))</f>
        <v/>
      </c>
      <c r="I564" s="2">
        <f>IF(AND(OR(E564="met",E564="not_met"),OR(F564="met",F564="not_met")),1,0)</f>
        <v/>
      </c>
      <c r="J564" s="2">
        <f>IF(I564=1,IF(E564=F564,1,0),"")</f>
        <v/>
      </c>
      <c r="K564" s="2" t="n"/>
      <c r="L564" s="2" t="n"/>
      <c r="M564" s="2" t="n"/>
      <c r="N564" s="2">
        <f>IF(OR(K564="",H564=""),"",IF((K564="met")=(H564="met"),1,0))</f>
        <v/>
      </c>
      <c r="O564" s="2">
        <f>IF(OR(L564="",H564=""),"",IF((L564="met")=(H564="met"),1,0))</f>
        <v/>
      </c>
      <c r="P564" s="2">
        <f>IF(OR(M564="",H564=""),"",IF((M564="met")=(H564="met"),1,0))</f>
        <v/>
      </c>
    </row>
    <row r="565">
      <c r="A565" s="2" t="inlineStr">
        <is>
          <t>S076</t>
        </is>
      </c>
      <c r="B565" s="2">
        <f>Key!B565</f>
        <v/>
      </c>
      <c r="C565" s="2">
        <f>Key!C565</f>
        <v/>
      </c>
      <c r="D565" s="2">
        <f>IF(Key!D565="","",Key!D565)</f>
        <v/>
      </c>
      <c r="E565" s="2">
        <f>IF(Label_Standalone!C77="","",Label_Standalone!C77)</f>
        <v/>
      </c>
      <c r="F565" s="2">
        <f>IF(Label_Standalone!D77="","",Label_Standalone!D77)</f>
        <v/>
      </c>
      <c r="G565" s="5" t="n"/>
      <c r="H565" s="2">
        <f>IF(G565&lt;&gt;"",G565,IF(AND(E565&lt;&gt;"",E565=F565,E565&lt;&gt;"unsure"),E565,""))</f>
        <v/>
      </c>
      <c r="I565" s="2">
        <f>IF(AND(OR(E565="met",E565="not_met"),OR(F565="met",F565="not_met")),1,0)</f>
        <v/>
      </c>
      <c r="J565" s="2">
        <f>IF(I565=1,IF(E565=F565,1,0),"")</f>
        <v/>
      </c>
      <c r="K565" s="2" t="n"/>
      <c r="L565" s="2" t="n"/>
      <c r="M565" s="2" t="n"/>
      <c r="N565" s="2">
        <f>IF(OR(K565="",H565=""),"",IF((K565="met")=(H565="met"),1,0))</f>
        <v/>
      </c>
      <c r="O565" s="2">
        <f>IF(OR(L565="",H565=""),"",IF((L565="met")=(H565="met"),1,0))</f>
        <v/>
      </c>
      <c r="P565" s="2">
        <f>IF(OR(M565="",H565=""),"",IF((M565="met")=(H565="met"),1,0))</f>
        <v/>
      </c>
    </row>
    <row r="566">
      <c r="A566" s="2" t="inlineStr">
        <is>
          <t>S077</t>
        </is>
      </c>
      <c r="B566" s="2">
        <f>Key!B566</f>
        <v/>
      </c>
      <c r="C566" s="2">
        <f>Key!C566</f>
        <v/>
      </c>
      <c r="D566" s="2">
        <f>IF(Key!D566="","",Key!D566)</f>
        <v/>
      </c>
      <c r="E566" s="2">
        <f>IF(Label_Standalone!C78="","",Label_Standalone!C78)</f>
        <v/>
      </c>
      <c r="F566" s="2">
        <f>IF(Label_Standalone!D78="","",Label_Standalone!D78)</f>
        <v/>
      </c>
      <c r="G566" s="5" t="n"/>
      <c r="H566" s="2">
        <f>IF(G566&lt;&gt;"",G566,IF(AND(E566&lt;&gt;"",E566=F566,E566&lt;&gt;"unsure"),E566,""))</f>
        <v/>
      </c>
      <c r="I566" s="2">
        <f>IF(AND(OR(E566="met",E566="not_met"),OR(F566="met",F566="not_met")),1,0)</f>
        <v/>
      </c>
      <c r="J566" s="2">
        <f>IF(I566=1,IF(E566=F566,1,0),"")</f>
        <v/>
      </c>
      <c r="K566" s="2" t="n"/>
      <c r="L566" s="2" t="n"/>
      <c r="M566" s="2" t="n"/>
      <c r="N566" s="2">
        <f>IF(OR(K566="",H566=""),"",IF((K566="met")=(H566="met"),1,0))</f>
        <v/>
      </c>
      <c r="O566" s="2">
        <f>IF(OR(L566="",H566=""),"",IF((L566="met")=(H566="met"),1,0))</f>
        <v/>
      </c>
      <c r="P566" s="2">
        <f>IF(OR(M566="",H566=""),"",IF((M566="met")=(H566="met"),1,0))</f>
        <v/>
      </c>
    </row>
    <row r="567">
      <c r="A567" s="2" t="inlineStr">
        <is>
          <t>S078</t>
        </is>
      </c>
      <c r="B567" s="2">
        <f>Key!B567</f>
        <v/>
      </c>
      <c r="C567" s="2">
        <f>Key!C567</f>
        <v/>
      </c>
      <c r="D567" s="2">
        <f>IF(Key!D567="","",Key!D567)</f>
        <v/>
      </c>
      <c r="E567" s="2">
        <f>IF(Label_Standalone!C79="","",Label_Standalone!C79)</f>
        <v/>
      </c>
      <c r="F567" s="2">
        <f>IF(Label_Standalone!D79="","",Label_Standalone!D79)</f>
        <v/>
      </c>
      <c r="G567" s="5" t="n"/>
      <c r="H567" s="2">
        <f>IF(G567&lt;&gt;"",G567,IF(AND(E567&lt;&gt;"",E567=F567,E567&lt;&gt;"unsure"),E567,""))</f>
        <v/>
      </c>
      <c r="I567" s="2">
        <f>IF(AND(OR(E567="met",E567="not_met"),OR(F567="met",F567="not_met")),1,0)</f>
        <v/>
      </c>
      <c r="J567" s="2">
        <f>IF(I567=1,IF(E567=F567,1,0),"")</f>
        <v/>
      </c>
      <c r="K567" s="2" t="n"/>
      <c r="L567" s="2" t="n"/>
      <c r="M567" s="2" t="n"/>
      <c r="N567" s="2">
        <f>IF(OR(K567="",H567=""),"",IF((K567="met")=(H567="met"),1,0))</f>
        <v/>
      </c>
      <c r="O567" s="2">
        <f>IF(OR(L567="",H567=""),"",IF((L567="met")=(H567="met"),1,0))</f>
        <v/>
      </c>
      <c r="P567" s="2">
        <f>IF(OR(M567="",H567=""),"",IF((M567="met")=(H567="met"),1,0))</f>
        <v/>
      </c>
    </row>
    <row r="568">
      <c r="A568" s="2" t="inlineStr">
        <is>
          <t>S079</t>
        </is>
      </c>
      <c r="B568" s="2">
        <f>Key!B568</f>
        <v/>
      </c>
      <c r="C568" s="2">
        <f>Key!C568</f>
        <v/>
      </c>
      <c r="D568" s="2">
        <f>IF(Key!D568="","",Key!D568)</f>
        <v/>
      </c>
      <c r="E568" s="2">
        <f>IF(Label_Standalone!C80="","",Label_Standalone!C80)</f>
        <v/>
      </c>
      <c r="F568" s="2">
        <f>IF(Label_Standalone!D80="","",Label_Standalone!D80)</f>
        <v/>
      </c>
      <c r="G568" s="5" t="n"/>
      <c r="H568" s="2">
        <f>IF(G568&lt;&gt;"",G568,IF(AND(E568&lt;&gt;"",E568=F568,E568&lt;&gt;"unsure"),E568,""))</f>
        <v/>
      </c>
      <c r="I568" s="2">
        <f>IF(AND(OR(E568="met",E568="not_met"),OR(F568="met",F568="not_met")),1,0)</f>
        <v/>
      </c>
      <c r="J568" s="2">
        <f>IF(I568=1,IF(E568=F568,1,0),"")</f>
        <v/>
      </c>
      <c r="K568" s="2" t="n"/>
      <c r="L568" s="2" t="n"/>
      <c r="M568" s="2" t="n"/>
      <c r="N568" s="2">
        <f>IF(OR(K568="",H568=""),"",IF((K568="met")=(H568="met"),1,0))</f>
        <v/>
      </c>
      <c r="O568" s="2">
        <f>IF(OR(L568="",H568=""),"",IF((L568="met")=(H568="met"),1,0))</f>
        <v/>
      </c>
      <c r="P568" s="2">
        <f>IF(OR(M568="",H568=""),"",IF((M568="met")=(H568="met"),1,0))</f>
        <v/>
      </c>
    </row>
    <row r="569">
      <c r="A569" s="2" t="inlineStr">
        <is>
          <t>S080</t>
        </is>
      </c>
      <c r="B569" s="2">
        <f>Key!B569</f>
        <v/>
      </c>
      <c r="C569" s="2">
        <f>Key!C569</f>
        <v/>
      </c>
      <c r="D569" s="2">
        <f>IF(Key!D569="","",Key!D569)</f>
        <v/>
      </c>
      <c r="E569" s="2">
        <f>IF(Label_Standalone!C81="","",Label_Standalone!C81)</f>
        <v/>
      </c>
      <c r="F569" s="2">
        <f>IF(Label_Standalone!D81="","",Label_Standalone!D81)</f>
        <v/>
      </c>
      <c r="G569" s="5" t="n"/>
      <c r="H569" s="2">
        <f>IF(G569&lt;&gt;"",G569,IF(AND(E569&lt;&gt;"",E569=F569,E569&lt;&gt;"unsure"),E569,""))</f>
        <v/>
      </c>
      <c r="I569" s="2">
        <f>IF(AND(OR(E569="met",E569="not_met"),OR(F569="met",F569="not_met")),1,0)</f>
        <v/>
      </c>
      <c r="J569" s="2">
        <f>IF(I569=1,IF(E569=F569,1,0),"")</f>
        <v/>
      </c>
      <c r="K569" s="2" t="n"/>
      <c r="L569" s="2" t="n"/>
      <c r="M569" s="2" t="n"/>
      <c r="N569" s="2">
        <f>IF(OR(K569="",H569=""),"",IF((K569="met")=(H569="met"),1,0))</f>
        <v/>
      </c>
      <c r="O569" s="2">
        <f>IF(OR(L569="",H569=""),"",IF((L569="met")=(H569="met"),1,0))</f>
        <v/>
      </c>
      <c r="P569" s="2">
        <f>IF(OR(M569="",H569=""),"",IF((M569="met")=(H569="met"),1,0))</f>
        <v/>
      </c>
    </row>
    <row r="570">
      <c r="A570" s="2" t="inlineStr">
        <is>
          <t>S081</t>
        </is>
      </c>
      <c r="B570" s="2">
        <f>Key!B570</f>
        <v/>
      </c>
      <c r="C570" s="2">
        <f>Key!C570</f>
        <v/>
      </c>
      <c r="D570" s="2">
        <f>IF(Key!D570="","",Key!D570)</f>
        <v/>
      </c>
      <c r="E570" s="2">
        <f>IF(Label_Standalone!C82="","",Label_Standalone!C82)</f>
        <v/>
      </c>
      <c r="F570" s="2">
        <f>IF(Label_Standalone!D82="","",Label_Standalone!D82)</f>
        <v/>
      </c>
      <c r="G570" s="5" t="n"/>
      <c r="H570" s="2">
        <f>IF(G570&lt;&gt;"",G570,IF(AND(E570&lt;&gt;"",E570=F570,E570&lt;&gt;"unsure"),E570,""))</f>
        <v/>
      </c>
      <c r="I570" s="2">
        <f>IF(AND(OR(E570="met",E570="not_met"),OR(F570="met",F570="not_met")),1,0)</f>
        <v/>
      </c>
      <c r="J570" s="2">
        <f>IF(I570=1,IF(E570=F570,1,0),"")</f>
        <v/>
      </c>
      <c r="K570" s="2" t="n"/>
      <c r="L570" s="2" t="n"/>
      <c r="M570" s="2" t="n"/>
      <c r="N570" s="2">
        <f>IF(OR(K570="",H570=""),"",IF((K570="met")=(H570="met"),1,0))</f>
        <v/>
      </c>
      <c r="O570" s="2">
        <f>IF(OR(L570="",H570=""),"",IF((L570="met")=(H570="met"),1,0))</f>
        <v/>
      </c>
      <c r="P570" s="2">
        <f>IF(OR(M570="",H570=""),"",IF((M570="met")=(H570="met"),1,0))</f>
        <v/>
      </c>
    </row>
    <row r="571">
      <c r="A571" s="2" t="inlineStr">
        <is>
          <t>S082</t>
        </is>
      </c>
      <c r="B571" s="2">
        <f>Key!B571</f>
        <v/>
      </c>
      <c r="C571" s="2">
        <f>Key!C571</f>
        <v/>
      </c>
      <c r="D571" s="2">
        <f>IF(Key!D571="","",Key!D571)</f>
        <v/>
      </c>
      <c r="E571" s="2">
        <f>IF(Label_Standalone!C83="","",Label_Standalone!C83)</f>
        <v/>
      </c>
      <c r="F571" s="2">
        <f>IF(Label_Standalone!D83="","",Label_Standalone!D83)</f>
        <v/>
      </c>
      <c r="G571" s="5" t="n"/>
      <c r="H571" s="2">
        <f>IF(G571&lt;&gt;"",G571,IF(AND(E571&lt;&gt;"",E571=F571,E571&lt;&gt;"unsure"),E571,""))</f>
        <v/>
      </c>
      <c r="I571" s="2">
        <f>IF(AND(OR(E571="met",E571="not_met"),OR(F571="met",F571="not_met")),1,0)</f>
        <v/>
      </c>
      <c r="J571" s="2">
        <f>IF(I571=1,IF(E571=F571,1,0),"")</f>
        <v/>
      </c>
      <c r="K571" s="2" t="n"/>
      <c r="L571" s="2" t="n"/>
      <c r="M571" s="2" t="n"/>
      <c r="N571" s="2">
        <f>IF(OR(K571="",H571=""),"",IF((K571="met")=(H571="met"),1,0))</f>
        <v/>
      </c>
      <c r="O571" s="2">
        <f>IF(OR(L571="",H571=""),"",IF((L571="met")=(H571="met"),1,0))</f>
        <v/>
      </c>
      <c r="P571" s="2">
        <f>IF(OR(M571="",H571=""),"",IF((M571="met")=(H571="met"),1,0))</f>
        <v/>
      </c>
    </row>
    <row r="572">
      <c r="A572" s="2" t="inlineStr">
        <is>
          <t>S083</t>
        </is>
      </c>
      <c r="B572" s="2">
        <f>Key!B572</f>
        <v/>
      </c>
      <c r="C572" s="2">
        <f>Key!C572</f>
        <v/>
      </c>
      <c r="D572" s="2">
        <f>IF(Key!D572="","",Key!D572)</f>
        <v/>
      </c>
      <c r="E572" s="2">
        <f>IF(Label_Standalone!C84="","",Label_Standalone!C84)</f>
        <v/>
      </c>
      <c r="F572" s="2">
        <f>IF(Label_Standalone!D84="","",Label_Standalone!D84)</f>
        <v/>
      </c>
      <c r="G572" s="5" t="n"/>
      <c r="H572" s="2">
        <f>IF(G572&lt;&gt;"",G572,IF(AND(E572&lt;&gt;"",E572=F572,E572&lt;&gt;"unsure"),E572,""))</f>
        <v/>
      </c>
      <c r="I572" s="2">
        <f>IF(AND(OR(E572="met",E572="not_met"),OR(F572="met",F572="not_met")),1,0)</f>
        <v/>
      </c>
      <c r="J572" s="2">
        <f>IF(I572=1,IF(E572=F572,1,0),"")</f>
        <v/>
      </c>
      <c r="K572" s="2" t="n"/>
      <c r="L572" s="2" t="n"/>
      <c r="M572" s="2" t="n"/>
      <c r="N572" s="2">
        <f>IF(OR(K572="",H572=""),"",IF((K572="met")=(H572="met"),1,0))</f>
        <v/>
      </c>
      <c r="O572" s="2">
        <f>IF(OR(L572="",H572=""),"",IF((L572="met")=(H572="met"),1,0))</f>
        <v/>
      </c>
      <c r="P572" s="2">
        <f>IF(OR(M572="",H572=""),"",IF((M572="met")=(H572="met"),1,0))</f>
        <v/>
      </c>
    </row>
    <row r="573">
      <c r="A573" s="2" t="inlineStr">
        <is>
          <t>S084</t>
        </is>
      </c>
      <c r="B573" s="2">
        <f>Key!B573</f>
        <v/>
      </c>
      <c r="C573" s="2">
        <f>Key!C573</f>
        <v/>
      </c>
      <c r="D573" s="2">
        <f>IF(Key!D573="","",Key!D573)</f>
        <v/>
      </c>
      <c r="E573" s="2">
        <f>IF(Label_Standalone!C85="","",Label_Standalone!C85)</f>
        <v/>
      </c>
      <c r="F573" s="2">
        <f>IF(Label_Standalone!D85="","",Label_Standalone!D85)</f>
        <v/>
      </c>
      <c r="G573" s="5" t="n"/>
      <c r="H573" s="2">
        <f>IF(G573&lt;&gt;"",G573,IF(AND(E573&lt;&gt;"",E573=F573,E573&lt;&gt;"unsure"),E573,""))</f>
        <v/>
      </c>
      <c r="I573" s="2">
        <f>IF(AND(OR(E573="met",E573="not_met"),OR(F573="met",F573="not_met")),1,0)</f>
        <v/>
      </c>
      <c r="J573" s="2">
        <f>IF(I573=1,IF(E573=F573,1,0),"")</f>
        <v/>
      </c>
      <c r="K573" s="2" t="n"/>
      <c r="L573" s="2" t="n"/>
      <c r="M573" s="2" t="n"/>
      <c r="N573" s="2">
        <f>IF(OR(K573="",H573=""),"",IF((K573="met")=(H573="met"),1,0))</f>
        <v/>
      </c>
      <c r="O573" s="2">
        <f>IF(OR(L573="",H573=""),"",IF((L573="met")=(H573="met"),1,0))</f>
        <v/>
      </c>
      <c r="P573" s="2">
        <f>IF(OR(M573="",H573=""),"",IF((M573="met")=(H573="met"),1,0))</f>
        <v/>
      </c>
    </row>
    <row r="574">
      <c r="A574" s="2" t="inlineStr">
        <is>
          <t>S085</t>
        </is>
      </c>
      <c r="B574" s="2">
        <f>Key!B574</f>
        <v/>
      </c>
      <c r="C574" s="2">
        <f>Key!C574</f>
        <v/>
      </c>
      <c r="D574" s="2">
        <f>IF(Key!D574="","",Key!D574)</f>
        <v/>
      </c>
      <c r="E574" s="2">
        <f>IF(Label_Standalone!C86="","",Label_Standalone!C86)</f>
        <v/>
      </c>
      <c r="F574" s="2">
        <f>IF(Label_Standalone!D86="","",Label_Standalone!D86)</f>
        <v/>
      </c>
      <c r="G574" s="5" t="n"/>
      <c r="H574" s="2">
        <f>IF(G574&lt;&gt;"",G574,IF(AND(E574&lt;&gt;"",E574=F574,E574&lt;&gt;"unsure"),E574,""))</f>
        <v/>
      </c>
      <c r="I574" s="2">
        <f>IF(AND(OR(E574="met",E574="not_met"),OR(F574="met",F574="not_met")),1,0)</f>
        <v/>
      </c>
      <c r="J574" s="2">
        <f>IF(I574=1,IF(E574=F574,1,0),"")</f>
        <v/>
      </c>
      <c r="K574" s="2" t="n"/>
      <c r="L574" s="2" t="n"/>
      <c r="M574" s="2" t="n"/>
      <c r="N574" s="2">
        <f>IF(OR(K574="",H574=""),"",IF((K574="met")=(H574="met"),1,0))</f>
        <v/>
      </c>
      <c r="O574" s="2">
        <f>IF(OR(L574="",H574=""),"",IF((L574="met")=(H574="met"),1,0))</f>
        <v/>
      </c>
      <c r="P574" s="2">
        <f>IF(OR(M574="",H574=""),"",IF((M574="met")=(H574="met"),1,0))</f>
        <v/>
      </c>
    </row>
    <row r="575">
      <c r="A575" s="2" t="inlineStr">
        <is>
          <t>S086</t>
        </is>
      </c>
      <c r="B575" s="2">
        <f>Key!B575</f>
        <v/>
      </c>
      <c r="C575" s="2">
        <f>Key!C575</f>
        <v/>
      </c>
      <c r="D575" s="2">
        <f>IF(Key!D575="","",Key!D575)</f>
        <v/>
      </c>
      <c r="E575" s="2">
        <f>IF(Label_Standalone!C87="","",Label_Standalone!C87)</f>
        <v/>
      </c>
      <c r="F575" s="2">
        <f>IF(Label_Standalone!D87="","",Label_Standalone!D87)</f>
        <v/>
      </c>
      <c r="G575" s="5" t="n"/>
      <c r="H575" s="2">
        <f>IF(G575&lt;&gt;"",G575,IF(AND(E575&lt;&gt;"",E575=F575,E575&lt;&gt;"unsure"),E575,""))</f>
        <v/>
      </c>
      <c r="I575" s="2">
        <f>IF(AND(OR(E575="met",E575="not_met"),OR(F575="met",F575="not_met")),1,0)</f>
        <v/>
      </c>
      <c r="J575" s="2">
        <f>IF(I575=1,IF(E575=F575,1,0),"")</f>
        <v/>
      </c>
      <c r="K575" s="2" t="n"/>
      <c r="L575" s="2" t="n"/>
      <c r="M575" s="2" t="n"/>
      <c r="N575" s="2">
        <f>IF(OR(K575="",H575=""),"",IF((K575="met")=(H575="met"),1,0))</f>
        <v/>
      </c>
      <c r="O575" s="2">
        <f>IF(OR(L575="",H575=""),"",IF((L575="met")=(H575="met"),1,0))</f>
        <v/>
      </c>
      <c r="P575" s="2">
        <f>IF(OR(M575="",H575=""),"",IF((M575="met")=(H575="met"),1,0))</f>
        <v/>
      </c>
    </row>
    <row r="576">
      <c r="A576" s="2" t="inlineStr">
        <is>
          <t>S087</t>
        </is>
      </c>
      <c r="B576" s="2">
        <f>Key!B576</f>
        <v/>
      </c>
      <c r="C576" s="2">
        <f>Key!C576</f>
        <v/>
      </c>
      <c r="D576" s="2">
        <f>IF(Key!D576="","",Key!D576)</f>
        <v/>
      </c>
      <c r="E576" s="2">
        <f>IF(Label_Standalone!C88="","",Label_Standalone!C88)</f>
        <v/>
      </c>
      <c r="F576" s="2">
        <f>IF(Label_Standalone!D88="","",Label_Standalone!D88)</f>
        <v/>
      </c>
      <c r="G576" s="5" t="n"/>
      <c r="H576" s="2">
        <f>IF(G576&lt;&gt;"",G576,IF(AND(E576&lt;&gt;"",E576=F576,E576&lt;&gt;"unsure"),E576,""))</f>
        <v/>
      </c>
      <c r="I576" s="2">
        <f>IF(AND(OR(E576="met",E576="not_met"),OR(F576="met",F576="not_met")),1,0)</f>
        <v/>
      </c>
      <c r="J576" s="2">
        <f>IF(I576=1,IF(E576=F576,1,0),"")</f>
        <v/>
      </c>
      <c r="K576" s="2" t="n"/>
      <c r="L576" s="2" t="n"/>
      <c r="M576" s="2" t="n"/>
      <c r="N576" s="2">
        <f>IF(OR(K576="",H576=""),"",IF((K576="met")=(H576="met"),1,0))</f>
        <v/>
      </c>
      <c r="O576" s="2">
        <f>IF(OR(L576="",H576=""),"",IF((L576="met")=(H576="met"),1,0))</f>
        <v/>
      </c>
      <c r="P576" s="2">
        <f>IF(OR(M576="",H576=""),"",IF((M576="met")=(H576="met"),1,0))</f>
        <v/>
      </c>
    </row>
    <row r="577">
      <c r="A577" s="2" t="inlineStr">
        <is>
          <t>S088</t>
        </is>
      </c>
      <c r="B577" s="2">
        <f>Key!B577</f>
        <v/>
      </c>
      <c r="C577" s="2">
        <f>Key!C577</f>
        <v/>
      </c>
      <c r="D577" s="2">
        <f>IF(Key!D577="","",Key!D577)</f>
        <v/>
      </c>
      <c r="E577" s="2">
        <f>IF(Label_Standalone!C89="","",Label_Standalone!C89)</f>
        <v/>
      </c>
      <c r="F577" s="2">
        <f>IF(Label_Standalone!D89="","",Label_Standalone!D89)</f>
        <v/>
      </c>
      <c r="G577" s="5" t="n"/>
      <c r="H577" s="2">
        <f>IF(G577&lt;&gt;"",G577,IF(AND(E577&lt;&gt;"",E577=F577,E577&lt;&gt;"unsure"),E577,""))</f>
        <v/>
      </c>
      <c r="I577" s="2">
        <f>IF(AND(OR(E577="met",E577="not_met"),OR(F577="met",F577="not_met")),1,0)</f>
        <v/>
      </c>
      <c r="J577" s="2">
        <f>IF(I577=1,IF(E577=F577,1,0),"")</f>
        <v/>
      </c>
      <c r="K577" s="2" t="n"/>
      <c r="L577" s="2" t="n"/>
      <c r="M577" s="2" t="n"/>
      <c r="N577" s="2">
        <f>IF(OR(K577="",H577=""),"",IF((K577="met")=(H577="met"),1,0))</f>
        <v/>
      </c>
      <c r="O577" s="2">
        <f>IF(OR(L577="",H577=""),"",IF((L577="met")=(H577="met"),1,0))</f>
        <v/>
      </c>
      <c r="P577" s="2">
        <f>IF(OR(M577="",H577=""),"",IF((M577="met")=(H577="met"),1,0))</f>
        <v/>
      </c>
    </row>
    <row r="578">
      <c r="A578" s="2" t="inlineStr">
        <is>
          <t>S089</t>
        </is>
      </c>
      <c r="B578" s="2">
        <f>Key!B578</f>
        <v/>
      </c>
      <c r="C578" s="2">
        <f>Key!C578</f>
        <v/>
      </c>
      <c r="D578" s="2">
        <f>IF(Key!D578="","",Key!D578)</f>
        <v/>
      </c>
      <c r="E578" s="2">
        <f>IF(Label_Standalone!C90="","",Label_Standalone!C90)</f>
        <v/>
      </c>
      <c r="F578" s="2">
        <f>IF(Label_Standalone!D90="","",Label_Standalone!D90)</f>
        <v/>
      </c>
      <c r="G578" s="5" t="n"/>
      <c r="H578" s="2">
        <f>IF(G578&lt;&gt;"",G578,IF(AND(E578&lt;&gt;"",E578=F578,E578&lt;&gt;"unsure"),E578,""))</f>
        <v/>
      </c>
      <c r="I578" s="2">
        <f>IF(AND(OR(E578="met",E578="not_met"),OR(F578="met",F578="not_met")),1,0)</f>
        <v/>
      </c>
      <c r="J578" s="2">
        <f>IF(I578=1,IF(E578=F578,1,0),"")</f>
        <v/>
      </c>
      <c r="K578" s="2" t="n"/>
      <c r="L578" s="2" t="n"/>
      <c r="M578" s="2" t="n"/>
      <c r="N578" s="2">
        <f>IF(OR(K578="",H578=""),"",IF((K578="met")=(H578="met"),1,0))</f>
        <v/>
      </c>
      <c r="O578" s="2">
        <f>IF(OR(L578="",H578=""),"",IF((L578="met")=(H578="met"),1,0))</f>
        <v/>
      </c>
      <c r="P578" s="2">
        <f>IF(OR(M578="",H578=""),"",IF((M578="met")=(H578="met"),1,0))</f>
        <v/>
      </c>
    </row>
    <row r="579">
      <c r="A579" s="2" t="inlineStr">
        <is>
          <t>S090</t>
        </is>
      </c>
      <c r="B579" s="2">
        <f>Key!B579</f>
        <v/>
      </c>
      <c r="C579" s="2">
        <f>Key!C579</f>
        <v/>
      </c>
      <c r="D579" s="2">
        <f>IF(Key!D579="","",Key!D579)</f>
        <v/>
      </c>
      <c r="E579" s="2">
        <f>IF(Label_Standalone!C91="","",Label_Standalone!C91)</f>
        <v/>
      </c>
      <c r="F579" s="2">
        <f>IF(Label_Standalone!D91="","",Label_Standalone!D91)</f>
        <v/>
      </c>
      <c r="G579" s="5" t="n"/>
      <c r="H579" s="2">
        <f>IF(G579&lt;&gt;"",G579,IF(AND(E579&lt;&gt;"",E579=F579,E579&lt;&gt;"unsure"),E579,""))</f>
        <v/>
      </c>
      <c r="I579" s="2">
        <f>IF(AND(OR(E579="met",E579="not_met"),OR(F579="met",F579="not_met")),1,0)</f>
        <v/>
      </c>
      <c r="J579" s="2">
        <f>IF(I579=1,IF(E579=F579,1,0),"")</f>
        <v/>
      </c>
      <c r="K579" s="2" t="n"/>
      <c r="L579" s="2" t="n"/>
      <c r="M579" s="2" t="n"/>
      <c r="N579" s="2">
        <f>IF(OR(K579="",H579=""),"",IF((K579="met")=(H579="met"),1,0))</f>
        <v/>
      </c>
      <c r="O579" s="2">
        <f>IF(OR(L579="",H579=""),"",IF((L579="met")=(H579="met"),1,0))</f>
        <v/>
      </c>
      <c r="P579" s="2">
        <f>IF(OR(M579="",H579=""),"",IF((M579="met")=(H579="met"),1,0))</f>
        <v/>
      </c>
    </row>
    <row r="580">
      <c r="A580" s="2" t="inlineStr">
        <is>
          <t>S091</t>
        </is>
      </c>
      <c r="B580" s="2">
        <f>Key!B580</f>
        <v/>
      </c>
      <c r="C580" s="2">
        <f>Key!C580</f>
        <v/>
      </c>
      <c r="D580" s="2">
        <f>IF(Key!D580="","",Key!D580)</f>
        <v/>
      </c>
      <c r="E580" s="2">
        <f>IF(Label_Standalone!C92="","",Label_Standalone!C92)</f>
        <v/>
      </c>
      <c r="F580" s="2">
        <f>IF(Label_Standalone!D92="","",Label_Standalone!D92)</f>
        <v/>
      </c>
      <c r="G580" s="5" t="n"/>
      <c r="H580" s="2">
        <f>IF(G580&lt;&gt;"",G580,IF(AND(E580&lt;&gt;"",E580=F580,E580&lt;&gt;"unsure"),E580,""))</f>
        <v/>
      </c>
      <c r="I580" s="2">
        <f>IF(AND(OR(E580="met",E580="not_met"),OR(F580="met",F580="not_met")),1,0)</f>
        <v/>
      </c>
      <c r="J580" s="2">
        <f>IF(I580=1,IF(E580=F580,1,0),"")</f>
        <v/>
      </c>
      <c r="K580" s="2" t="n"/>
      <c r="L580" s="2" t="n"/>
      <c r="M580" s="2" t="n"/>
      <c r="N580" s="2">
        <f>IF(OR(K580="",H580=""),"",IF((K580="met")=(H580="met"),1,0))</f>
        <v/>
      </c>
      <c r="O580" s="2">
        <f>IF(OR(L580="",H580=""),"",IF((L580="met")=(H580="met"),1,0))</f>
        <v/>
      </c>
      <c r="P580" s="2">
        <f>IF(OR(M580="",H580=""),"",IF((M580="met")=(H580="met"),1,0))</f>
        <v/>
      </c>
    </row>
    <row r="581">
      <c r="A581" s="2" t="inlineStr">
        <is>
          <t>S092</t>
        </is>
      </c>
      <c r="B581" s="2">
        <f>Key!B581</f>
        <v/>
      </c>
      <c r="C581" s="2">
        <f>Key!C581</f>
        <v/>
      </c>
      <c r="D581" s="2">
        <f>IF(Key!D581="","",Key!D581)</f>
        <v/>
      </c>
      <c r="E581" s="2">
        <f>IF(Label_Standalone!C93="","",Label_Standalone!C93)</f>
        <v/>
      </c>
      <c r="F581" s="2">
        <f>IF(Label_Standalone!D93="","",Label_Standalone!D93)</f>
        <v/>
      </c>
      <c r="G581" s="5" t="n"/>
      <c r="H581" s="2">
        <f>IF(G581&lt;&gt;"",G581,IF(AND(E581&lt;&gt;"",E581=F581,E581&lt;&gt;"unsure"),E581,""))</f>
        <v/>
      </c>
      <c r="I581" s="2">
        <f>IF(AND(OR(E581="met",E581="not_met"),OR(F581="met",F581="not_met")),1,0)</f>
        <v/>
      </c>
      <c r="J581" s="2">
        <f>IF(I581=1,IF(E581=F581,1,0),"")</f>
        <v/>
      </c>
      <c r="K581" s="2" t="n"/>
      <c r="L581" s="2" t="n"/>
      <c r="M581" s="2" t="n"/>
      <c r="N581" s="2">
        <f>IF(OR(K581="",H581=""),"",IF((K581="met")=(H581="met"),1,0))</f>
        <v/>
      </c>
      <c r="O581" s="2">
        <f>IF(OR(L581="",H581=""),"",IF((L581="met")=(H581="met"),1,0))</f>
        <v/>
      </c>
      <c r="P581" s="2">
        <f>IF(OR(M581="",H581=""),"",IF((M581="met")=(H581="met"),1,0))</f>
        <v/>
      </c>
    </row>
    <row r="582">
      <c r="A582" s="2" t="inlineStr">
        <is>
          <t>S093</t>
        </is>
      </c>
      <c r="B582" s="2">
        <f>Key!B582</f>
        <v/>
      </c>
      <c r="C582" s="2">
        <f>Key!C582</f>
        <v/>
      </c>
      <c r="D582" s="2">
        <f>IF(Key!D582="","",Key!D582)</f>
        <v/>
      </c>
      <c r="E582" s="2">
        <f>IF(Label_Standalone!C94="","",Label_Standalone!C94)</f>
        <v/>
      </c>
      <c r="F582" s="2">
        <f>IF(Label_Standalone!D94="","",Label_Standalone!D94)</f>
        <v/>
      </c>
      <c r="G582" s="5" t="n"/>
      <c r="H582" s="2">
        <f>IF(G582&lt;&gt;"",G582,IF(AND(E582&lt;&gt;"",E582=F582,E582&lt;&gt;"unsure"),E582,""))</f>
        <v/>
      </c>
      <c r="I582" s="2">
        <f>IF(AND(OR(E582="met",E582="not_met"),OR(F582="met",F582="not_met")),1,0)</f>
        <v/>
      </c>
      <c r="J582" s="2">
        <f>IF(I582=1,IF(E582=F582,1,0),"")</f>
        <v/>
      </c>
      <c r="K582" s="2" t="n"/>
      <c r="L582" s="2" t="n"/>
      <c r="M582" s="2" t="n"/>
      <c r="N582" s="2">
        <f>IF(OR(K582="",H582=""),"",IF((K582="met")=(H582="met"),1,0))</f>
        <v/>
      </c>
      <c r="O582" s="2">
        <f>IF(OR(L582="",H582=""),"",IF((L582="met")=(H582="met"),1,0))</f>
        <v/>
      </c>
      <c r="P582" s="2">
        <f>IF(OR(M582="",H582=""),"",IF((M582="met")=(H582="met"),1,0))</f>
        <v/>
      </c>
    </row>
    <row r="583">
      <c r="A583" s="2" t="inlineStr">
        <is>
          <t>S094</t>
        </is>
      </c>
      <c r="B583" s="2">
        <f>Key!B583</f>
        <v/>
      </c>
      <c r="C583" s="2">
        <f>Key!C583</f>
        <v/>
      </c>
      <c r="D583" s="2">
        <f>IF(Key!D583="","",Key!D583)</f>
        <v/>
      </c>
      <c r="E583" s="2">
        <f>IF(Label_Standalone!C95="","",Label_Standalone!C95)</f>
        <v/>
      </c>
      <c r="F583" s="2">
        <f>IF(Label_Standalone!D95="","",Label_Standalone!D95)</f>
        <v/>
      </c>
      <c r="G583" s="5" t="n"/>
      <c r="H583" s="2">
        <f>IF(G583&lt;&gt;"",G583,IF(AND(E583&lt;&gt;"",E583=F583,E583&lt;&gt;"unsure"),E583,""))</f>
        <v/>
      </c>
      <c r="I583" s="2">
        <f>IF(AND(OR(E583="met",E583="not_met"),OR(F583="met",F583="not_met")),1,0)</f>
        <v/>
      </c>
      <c r="J583" s="2">
        <f>IF(I583=1,IF(E583=F583,1,0),"")</f>
        <v/>
      </c>
      <c r="K583" s="2" t="n"/>
      <c r="L583" s="2" t="n"/>
      <c r="M583" s="2" t="n"/>
      <c r="N583" s="2">
        <f>IF(OR(K583="",H583=""),"",IF((K583="met")=(H583="met"),1,0))</f>
        <v/>
      </c>
      <c r="O583" s="2">
        <f>IF(OR(L583="",H583=""),"",IF((L583="met")=(H583="met"),1,0))</f>
        <v/>
      </c>
      <c r="P583" s="2">
        <f>IF(OR(M583="",H583=""),"",IF((M583="met")=(H583="met"),1,0))</f>
        <v/>
      </c>
    </row>
    <row r="584">
      <c r="A584" s="2" t="inlineStr">
        <is>
          <t>S095</t>
        </is>
      </c>
      <c r="B584" s="2">
        <f>Key!B584</f>
        <v/>
      </c>
      <c r="C584" s="2">
        <f>Key!C584</f>
        <v/>
      </c>
      <c r="D584" s="2">
        <f>IF(Key!D584="","",Key!D584)</f>
        <v/>
      </c>
      <c r="E584" s="2">
        <f>IF(Label_Standalone!C96="","",Label_Standalone!C96)</f>
        <v/>
      </c>
      <c r="F584" s="2">
        <f>IF(Label_Standalone!D96="","",Label_Standalone!D96)</f>
        <v/>
      </c>
      <c r="G584" s="5" t="n"/>
      <c r="H584" s="2">
        <f>IF(G584&lt;&gt;"",G584,IF(AND(E584&lt;&gt;"",E584=F584,E584&lt;&gt;"unsure"),E584,""))</f>
        <v/>
      </c>
      <c r="I584" s="2">
        <f>IF(AND(OR(E584="met",E584="not_met"),OR(F584="met",F584="not_met")),1,0)</f>
        <v/>
      </c>
      <c r="J584" s="2">
        <f>IF(I584=1,IF(E584=F584,1,0),"")</f>
        <v/>
      </c>
      <c r="K584" s="2" t="n"/>
      <c r="L584" s="2" t="n"/>
      <c r="M584" s="2" t="n"/>
      <c r="N584" s="2">
        <f>IF(OR(K584="",H584=""),"",IF((K584="met")=(H584="met"),1,0))</f>
        <v/>
      </c>
      <c r="O584" s="2">
        <f>IF(OR(L584="",H584=""),"",IF((L584="met")=(H584="met"),1,0))</f>
        <v/>
      </c>
      <c r="P584" s="2">
        <f>IF(OR(M584="",H584=""),"",IF((M584="met")=(H584="met"),1,0))</f>
        <v/>
      </c>
    </row>
    <row r="585">
      <c r="A585" s="2" t="inlineStr">
        <is>
          <t>S096</t>
        </is>
      </c>
      <c r="B585" s="2">
        <f>Key!B585</f>
        <v/>
      </c>
      <c r="C585" s="2">
        <f>Key!C585</f>
        <v/>
      </c>
      <c r="D585" s="2">
        <f>IF(Key!D585="","",Key!D585)</f>
        <v/>
      </c>
      <c r="E585" s="2">
        <f>IF(Label_Standalone!C97="","",Label_Standalone!C97)</f>
        <v/>
      </c>
      <c r="F585" s="2">
        <f>IF(Label_Standalone!D97="","",Label_Standalone!D97)</f>
        <v/>
      </c>
      <c r="G585" s="5" t="n"/>
      <c r="H585" s="2">
        <f>IF(G585&lt;&gt;"",G585,IF(AND(E585&lt;&gt;"",E585=F585,E585&lt;&gt;"unsure"),E585,""))</f>
        <v/>
      </c>
      <c r="I585" s="2">
        <f>IF(AND(OR(E585="met",E585="not_met"),OR(F585="met",F585="not_met")),1,0)</f>
        <v/>
      </c>
      <c r="J585" s="2">
        <f>IF(I585=1,IF(E585=F585,1,0),"")</f>
        <v/>
      </c>
      <c r="K585" s="2" t="n"/>
      <c r="L585" s="2" t="n"/>
      <c r="M585" s="2" t="n"/>
      <c r="N585" s="2">
        <f>IF(OR(K585="",H585=""),"",IF((K585="met")=(H585="met"),1,0))</f>
        <v/>
      </c>
      <c r="O585" s="2">
        <f>IF(OR(L585="",H585=""),"",IF((L585="met")=(H585="met"),1,0))</f>
        <v/>
      </c>
      <c r="P585" s="2">
        <f>IF(OR(M585="",H585=""),"",IF((M585="met")=(H585="met"),1,0))</f>
        <v/>
      </c>
    </row>
    <row r="586">
      <c r="A586" s="2" t="inlineStr">
        <is>
          <t>S097</t>
        </is>
      </c>
      <c r="B586" s="2">
        <f>Key!B586</f>
        <v/>
      </c>
      <c r="C586" s="2">
        <f>Key!C586</f>
        <v/>
      </c>
      <c r="D586" s="2">
        <f>IF(Key!D586="","",Key!D586)</f>
        <v/>
      </c>
      <c r="E586" s="2">
        <f>IF(Label_Standalone!C98="","",Label_Standalone!C98)</f>
        <v/>
      </c>
      <c r="F586" s="2">
        <f>IF(Label_Standalone!D98="","",Label_Standalone!D98)</f>
        <v/>
      </c>
      <c r="G586" s="5" t="n"/>
      <c r="H586" s="2">
        <f>IF(G586&lt;&gt;"",G586,IF(AND(E586&lt;&gt;"",E586=F586,E586&lt;&gt;"unsure"),E586,""))</f>
        <v/>
      </c>
      <c r="I586" s="2">
        <f>IF(AND(OR(E586="met",E586="not_met"),OR(F586="met",F586="not_met")),1,0)</f>
        <v/>
      </c>
      <c r="J586" s="2">
        <f>IF(I586=1,IF(E586=F586,1,0),"")</f>
        <v/>
      </c>
      <c r="K586" s="2" t="n"/>
      <c r="L586" s="2" t="n"/>
      <c r="M586" s="2" t="n"/>
      <c r="N586" s="2">
        <f>IF(OR(K586="",H586=""),"",IF((K586="met")=(H586="met"),1,0))</f>
        <v/>
      </c>
      <c r="O586" s="2">
        <f>IF(OR(L586="",H586=""),"",IF((L586="met")=(H586="met"),1,0))</f>
        <v/>
      </c>
      <c r="P586" s="2">
        <f>IF(OR(M586="",H586=""),"",IF((M586="met")=(H586="met"),1,0))</f>
        <v/>
      </c>
    </row>
    <row r="587">
      <c r="A587" s="2" t="inlineStr">
        <is>
          <t>S098</t>
        </is>
      </c>
      <c r="B587" s="2">
        <f>Key!B587</f>
        <v/>
      </c>
      <c r="C587" s="2">
        <f>Key!C587</f>
        <v/>
      </c>
      <c r="D587" s="2">
        <f>IF(Key!D587="","",Key!D587)</f>
        <v/>
      </c>
      <c r="E587" s="2">
        <f>IF(Label_Standalone!C99="","",Label_Standalone!C99)</f>
        <v/>
      </c>
      <c r="F587" s="2">
        <f>IF(Label_Standalone!D99="","",Label_Standalone!D99)</f>
        <v/>
      </c>
      <c r="G587" s="5" t="n"/>
      <c r="H587" s="2">
        <f>IF(G587&lt;&gt;"",G587,IF(AND(E587&lt;&gt;"",E587=F587,E587&lt;&gt;"unsure"),E587,""))</f>
        <v/>
      </c>
      <c r="I587" s="2">
        <f>IF(AND(OR(E587="met",E587="not_met"),OR(F587="met",F587="not_met")),1,0)</f>
        <v/>
      </c>
      <c r="J587" s="2">
        <f>IF(I587=1,IF(E587=F587,1,0),"")</f>
        <v/>
      </c>
      <c r="K587" s="2" t="n"/>
      <c r="L587" s="2" t="n"/>
      <c r="M587" s="2" t="n"/>
      <c r="N587" s="2">
        <f>IF(OR(K587="",H587=""),"",IF((K587="met")=(H587="met"),1,0))</f>
        <v/>
      </c>
      <c r="O587" s="2">
        <f>IF(OR(L587="",H587=""),"",IF((L587="met")=(H587="met"),1,0))</f>
        <v/>
      </c>
      <c r="P587" s="2">
        <f>IF(OR(M587="",H587=""),"",IF((M587="met")=(H587="met"),1,0))</f>
        <v/>
      </c>
    </row>
    <row r="588">
      <c r="A588" s="2" t="inlineStr">
        <is>
          <t>S099</t>
        </is>
      </c>
      <c r="B588" s="2">
        <f>Key!B588</f>
        <v/>
      </c>
      <c r="C588" s="2">
        <f>Key!C588</f>
        <v/>
      </c>
      <c r="D588" s="2">
        <f>IF(Key!D588="","",Key!D588)</f>
        <v/>
      </c>
      <c r="E588" s="2">
        <f>IF(Label_Standalone!C100="","",Label_Standalone!C100)</f>
        <v/>
      </c>
      <c r="F588" s="2">
        <f>IF(Label_Standalone!D100="","",Label_Standalone!D100)</f>
        <v/>
      </c>
      <c r="G588" s="5" t="n"/>
      <c r="H588" s="2">
        <f>IF(G588&lt;&gt;"",G588,IF(AND(E588&lt;&gt;"",E588=F588,E588&lt;&gt;"unsure"),E588,""))</f>
        <v/>
      </c>
      <c r="I588" s="2">
        <f>IF(AND(OR(E588="met",E588="not_met"),OR(F588="met",F588="not_met")),1,0)</f>
        <v/>
      </c>
      <c r="J588" s="2">
        <f>IF(I588=1,IF(E588=F588,1,0),"")</f>
        <v/>
      </c>
      <c r="K588" s="2" t="n"/>
      <c r="L588" s="2" t="n"/>
      <c r="M588" s="2" t="n"/>
      <c r="N588" s="2">
        <f>IF(OR(K588="",H588=""),"",IF((K588="met")=(H588="met"),1,0))</f>
        <v/>
      </c>
      <c r="O588" s="2">
        <f>IF(OR(L588="",H588=""),"",IF((L588="met")=(H588="met"),1,0))</f>
        <v/>
      </c>
      <c r="P588" s="2">
        <f>IF(OR(M588="",H588=""),"",IF((M588="met")=(H588="met"),1,0))</f>
        <v/>
      </c>
    </row>
    <row r="589">
      <c r="A589" s="2" t="inlineStr">
        <is>
          <t>S100</t>
        </is>
      </c>
      <c r="B589" s="2">
        <f>Key!B589</f>
        <v/>
      </c>
      <c r="C589" s="2">
        <f>Key!C589</f>
        <v/>
      </c>
      <c r="D589" s="2">
        <f>IF(Key!D589="","",Key!D589)</f>
        <v/>
      </c>
      <c r="E589" s="2">
        <f>IF(Label_Standalone!C101="","",Label_Standalone!C101)</f>
        <v/>
      </c>
      <c r="F589" s="2">
        <f>IF(Label_Standalone!D101="","",Label_Standalone!D101)</f>
        <v/>
      </c>
      <c r="G589" s="5" t="n"/>
      <c r="H589" s="2">
        <f>IF(G589&lt;&gt;"",G589,IF(AND(E589&lt;&gt;"",E589=F589,E589&lt;&gt;"unsure"),E589,""))</f>
        <v/>
      </c>
      <c r="I589" s="2">
        <f>IF(AND(OR(E589="met",E589="not_met"),OR(F589="met",F589="not_met")),1,0)</f>
        <v/>
      </c>
      <c r="J589" s="2">
        <f>IF(I589=1,IF(E589=F589,1,0),"")</f>
        <v/>
      </c>
      <c r="K589" s="2" t="n"/>
      <c r="L589" s="2" t="n"/>
      <c r="M589" s="2" t="n"/>
      <c r="N589" s="2">
        <f>IF(OR(K589="",H589=""),"",IF((K589="met")=(H589="met"),1,0))</f>
        <v/>
      </c>
      <c r="O589" s="2">
        <f>IF(OR(L589="",H589=""),"",IF((L589="met")=(H589="met"),1,0))</f>
        <v/>
      </c>
      <c r="P589" s="2">
        <f>IF(OR(M589="",H589=""),"",IF((M589="met")=(H589="met"),1,0))</f>
        <v/>
      </c>
    </row>
    <row r="590">
      <c r="A590" s="2" t="inlineStr">
        <is>
          <t>S101</t>
        </is>
      </c>
      <c r="B590" s="2">
        <f>Key!B590</f>
        <v/>
      </c>
      <c r="C590" s="2">
        <f>Key!C590</f>
        <v/>
      </c>
      <c r="D590" s="2">
        <f>IF(Key!D590="","",Key!D590)</f>
        <v/>
      </c>
      <c r="E590" s="2">
        <f>IF(Label_Standalone!C102="","",Label_Standalone!C102)</f>
        <v/>
      </c>
      <c r="F590" s="2">
        <f>IF(Label_Standalone!D102="","",Label_Standalone!D102)</f>
        <v/>
      </c>
      <c r="G590" s="5" t="n"/>
      <c r="H590" s="2">
        <f>IF(G590&lt;&gt;"",G590,IF(AND(E590&lt;&gt;"",E590=F590,E590&lt;&gt;"unsure"),E590,""))</f>
        <v/>
      </c>
      <c r="I590" s="2">
        <f>IF(AND(OR(E590="met",E590="not_met"),OR(F590="met",F590="not_met")),1,0)</f>
        <v/>
      </c>
      <c r="J590" s="2">
        <f>IF(I590=1,IF(E590=F590,1,0),"")</f>
        <v/>
      </c>
      <c r="K590" s="2" t="n"/>
      <c r="L590" s="2" t="n"/>
      <c r="M590" s="2" t="n"/>
      <c r="N590" s="2">
        <f>IF(OR(K590="",H590=""),"",IF((K590="met")=(H590="met"),1,0))</f>
        <v/>
      </c>
      <c r="O590" s="2">
        <f>IF(OR(L590="",H590=""),"",IF((L590="met")=(H590="met"),1,0))</f>
        <v/>
      </c>
      <c r="P590" s="2">
        <f>IF(OR(M590="",H590=""),"",IF((M590="met")=(H590="met"),1,0))</f>
        <v/>
      </c>
    </row>
    <row r="591">
      <c r="A591" s="2" t="inlineStr">
        <is>
          <t>S102</t>
        </is>
      </c>
      <c r="B591" s="2">
        <f>Key!B591</f>
        <v/>
      </c>
      <c r="C591" s="2">
        <f>Key!C591</f>
        <v/>
      </c>
      <c r="D591" s="2">
        <f>IF(Key!D591="","",Key!D591)</f>
        <v/>
      </c>
      <c r="E591" s="2">
        <f>IF(Label_Standalone!C103="","",Label_Standalone!C103)</f>
        <v/>
      </c>
      <c r="F591" s="2">
        <f>IF(Label_Standalone!D103="","",Label_Standalone!D103)</f>
        <v/>
      </c>
      <c r="G591" s="5" t="n"/>
      <c r="H591" s="2">
        <f>IF(G591&lt;&gt;"",G591,IF(AND(E591&lt;&gt;"",E591=F591,E591&lt;&gt;"unsure"),E591,""))</f>
        <v/>
      </c>
      <c r="I591" s="2">
        <f>IF(AND(OR(E591="met",E591="not_met"),OR(F591="met",F591="not_met")),1,0)</f>
        <v/>
      </c>
      <c r="J591" s="2">
        <f>IF(I591=1,IF(E591=F591,1,0),"")</f>
        <v/>
      </c>
      <c r="K591" s="2" t="n"/>
      <c r="L591" s="2" t="n"/>
      <c r="M591" s="2" t="n"/>
      <c r="N591" s="2">
        <f>IF(OR(K591="",H591=""),"",IF((K591="met")=(H591="met"),1,0))</f>
        <v/>
      </c>
      <c r="O591" s="2">
        <f>IF(OR(L591="",H591=""),"",IF((L591="met")=(H591="met"),1,0))</f>
        <v/>
      </c>
      <c r="P591" s="2">
        <f>IF(OR(M591="",H591=""),"",IF((M591="met")=(H591="met"),1,0))</f>
        <v/>
      </c>
    </row>
    <row r="592">
      <c r="A592" s="2" t="inlineStr">
        <is>
          <t>S103</t>
        </is>
      </c>
      <c r="B592" s="2">
        <f>Key!B592</f>
        <v/>
      </c>
      <c r="C592" s="2">
        <f>Key!C592</f>
        <v/>
      </c>
      <c r="D592" s="2">
        <f>IF(Key!D592="","",Key!D592)</f>
        <v/>
      </c>
      <c r="E592" s="2">
        <f>IF(Label_Standalone!C104="","",Label_Standalone!C104)</f>
        <v/>
      </c>
      <c r="F592" s="2">
        <f>IF(Label_Standalone!D104="","",Label_Standalone!D104)</f>
        <v/>
      </c>
      <c r="G592" s="5" t="n"/>
      <c r="H592" s="2">
        <f>IF(G592&lt;&gt;"",G592,IF(AND(E592&lt;&gt;"",E592=F592,E592&lt;&gt;"unsure"),E592,""))</f>
        <v/>
      </c>
      <c r="I592" s="2">
        <f>IF(AND(OR(E592="met",E592="not_met"),OR(F592="met",F592="not_met")),1,0)</f>
        <v/>
      </c>
      <c r="J592" s="2">
        <f>IF(I592=1,IF(E592=F592,1,0),"")</f>
        <v/>
      </c>
      <c r="K592" s="2" t="n"/>
      <c r="L592" s="2" t="n"/>
      <c r="M592" s="2" t="n"/>
      <c r="N592" s="2">
        <f>IF(OR(K592="",H592=""),"",IF((K592="met")=(H592="met"),1,0))</f>
        <v/>
      </c>
      <c r="O592" s="2">
        <f>IF(OR(L592="",H592=""),"",IF((L592="met")=(H592="met"),1,0))</f>
        <v/>
      </c>
      <c r="P592" s="2">
        <f>IF(OR(M592="",H592=""),"",IF((M592="met")=(H592="met"),1,0))</f>
        <v/>
      </c>
    </row>
    <row r="593">
      <c r="A593" s="2" t="inlineStr">
        <is>
          <t>S104</t>
        </is>
      </c>
      <c r="B593" s="2">
        <f>Key!B593</f>
        <v/>
      </c>
      <c r="C593" s="2">
        <f>Key!C593</f>
        <v/>
      </c>
      <c r="D593" s="2">
        <f>IF(Key!D593="","",Key!D593)</f>
        <v/>
      </c>
      <c r="E593" s="2">
        <f>IF(Label_Standalone!C105="","",Label_Standalone!C105)</f>
        <v/>
      </c>
      <c r="F593" s="2">
        <f>IF(Label_Standalone!D105="","",Label_Standalone!D105)</f>
        <v/>
      </c>
      <c r="G593" s="5" t="n"/>
      <c r="H593" s="2">
        <f>IF(G593&lt;&gt;"",G593,IF(AND(E593&lt;&gt;"",E593=F593,E593&lt;&gt;"unsure"),E593,""))</f>
        <v/>
      </c>
      <c r="I593" s="2">
        <f>IF(AND(OR(E593="met",E593="not_met"),OR(F593="met",F593="not_met")),1,0)</f>
        <v/>
      </c>
      <c r="J593" s="2">
        <f>IF(I593=1,IF(E593=F593,1,0),"")</f>
        <v/>
      </c>
      <c r="K593" s="2" t="n"/>
      <c r="L593" s="2" t="n"/>
      <c r="M593" s="2" t="n"/>
      <c r="N593" s="2">
        <f>IF(OR(K593="",H593=""),"",IF((K593="met")=(H593="met"),1,0))</f>
        <v/>
      </c>
      <c r="O593" s="2">
        <f>IF(OR(L593="",H593=""),"",IF((L593="met")=(H593="met"),1,0))</f>
        <v/>
      </c>
      <c r="P593" s="2">
        <f>IF(OR(M593="",H593=""),"",IF((M593="met")=(H593="met"),1,0))</f>
        <v/>
      </c>
    </row>
    <row r="594">
      <c r="A594" s="2" t="inlineStr">
        <is>
          <t>S105</t>
        </is>
      </c>
      <c r="B594" s="2">
        <f>Key!B594</f>
        <v/>
      </c>
      <c r="C594" s="2">
        <f>Key!C594</f>
        <v/>
      </c>
      <c r="D594" s="2">
        <f>IF(Key!D594="","",Key!D594)</f>
        <v/>
      </c>
      <c r="E594" s="2">
        <f>IF(Label_Standalone!C106="","",Label_Standalone!C106)</f>
        <v/>
      </c>
      <c r="F594" s="2">
        <f>IF(Label_Standalone!D106="","",Label_Standalone!D106)</f>
        <v/>
      </c>
      <c r="G594" s="5" t="n"/>
      <c r="H594" s="2">
        <f>IF(G594&lt;&gt;"",G594,IF(AND(E594&lt;&gt;"",E594=F594,E594&lt;&gt;"unsure"),E594,""))</f>
        <v/>
      </c>
      <c r="I594" s="2">
        <f>IF(AND(OR(E594="met",E594="not_met"),OR(F594="met",F594="not_met")),1,0)</f>
        <v/>
      </c>
      <c r="J594" s="2">
        <f>IF(I594=1,IF(E594=F594,1,0),"")</f>
        <v/>
      </c>
      <c r="K594" s="2" t="n"/>
      <c r="L594" s="2" t="n"/>
      <c r="M594" s="2" t="n"/>
      <c r="N594" s="2">
        <f>IF(OR(K594="",H594=""),"",IF((K594="met")=(H594="met"),1,0))</f>
        <v/>
      </c>
      <c r="O594" s="2">
        <f>IF(OR(L594="",H594=""),"",IF((L594="met")=(H594="met"),1,0))</f>
        <v/>
      </c>
      <c r="P594" s="2">
        <f>IF(OR(M594="",H594=""),"",IF((M594="met")=(H594="met"),1,0))</f>
        <v/>
      </c>
    </row>
    <row r="595">
      <c r="A595" s="2" t="inlineStr">
        <is>
          <t>S106</t>
        </is>
      </c>
      <c r="B595" s="2">
        <f>Key!B595</f>
        <v/>
      </c>
      <c r="C595" s="2">
        <f>Key!C595</f>
        <v/>
      </c>
      <c r="D595" s="2">
        <f>IF(Key!D595="","",Key!D595)</f>
        <v/>
      </c>
      <c r="E595" s="2">
        <f>IF(Label_Standalone!C107="","",Label_Standalone!C107)</f>
        <v/>
      </c>
      <c r="F595" s="2">
        <f>IF(Label_Standalone!D107="","",Label_Standalone!D107)</f>
        <v/>
      </c>
      <c r="G595" s="5" t="n"/>
      <c r="H595" s="2">
        <f>IF(G595&lt;&gt;"",G595,IF(AND(E595&lt;&gt;"",E595=F595,E595&lt;&gt;"unsure"),E595,""))</f>
        <v/>
      </c>
      <c r="I595" s="2">
        <f>IF(AND(OR(E595="met",E595="not_met"),OR(F595="met",F595="not_met")),1,0)</f>
        <v/>
      </c>
      <c r="J595" s="2">
        <f>IF(I595=1,IF(E595=F595,1,0),"")</f>
        <v/>
      </c>
      <c r="K595" s="2" t="n"/>
      <c r="L595" s="2" t="n"/>
      <c r="M595" s="2" t="n"/>
      <c r="N595" s="2">
        <f>IF(OR(K595="",H595=""),"",IF((K595="met")=(H595="met"),1,0))</f>
        <v/>
      </c>
      <c r="O595" s="2">
        <f>IF(OR(L595="",H595=""),"",IF((L595="met")=(H595="met"),1,0))</f>
        <v/>
      </c>
      <c r="P595" s="2">
        <f>IF(OR(M595="",H595=""),"",IF((M595="met")=(H595="met"),1,0))</f>
        <v/>
      </c>
    </row>
    <row r="596">
      <c r="A596" s="2" t="inlineStr">
        <is>
          <t>S107</t>
        </is>
      </c>
      <c r="B596" s="2">
        <f>Key!B596</f>
        <v/>
      </c>
      <c r="C596" s="2">
        <f>Key!C596</f>
        <v/>
      </c>
      <c r="D596" s="2">
        <f>IF(Key!D596="","",Key!D596)</f>
        <v/>
      </c>
      <c r="E596" s="2">
        <f>IF(Label_Standalone!C108="","",Label_Standalone!C108)</f>
        <v/>
      </c>
      <c r="F596" s="2">
        <f>IF(Label_Standalone!D108="","",Label_Standalone!D108)</f>
        <v/>
      </c>
      <c r="G596" s="5" t="n"/>
      <c r="H596" s="2">
        <f>IF(G596&lt;&gt;"",G596,IF(AND(E596&lt;&gt;"",E596=F596,E596&lt;&gt;"unsure"),E596,""))</f>
        <v/>
      </c>
      <c r="I596" s="2">
        <f>IF(AND(OR(E596="met",E596="not_met"),OR(F596="met",F596="not_met")),1,0)</f>
        <v/>
      </c>
      <c r="J596" s="2">
        <f>IF(I596=1,IF(E596=F596,1,0),"")</f>
        <v/>
      </c>
      <c r="K596" s="2" t="n"/>
      <c r="L596" s="2" t="n"/>
      <c r="M596" s="2" t="n"/>
      <c r="N596" s="2">
        <f>IF(OR(K596="",H596=""),"",IF((K596="met")=(H596="met"),1,0))</f>
        <v/>
      </c>
      <c r="O596" s="2">
        <f>IF(OR(L596="",H596=""),"",IF((L596="met")=(H596="met"),1,0))</f>
        <v/>
      </c>
      <c r="P596" s="2">
        <f>IF(OR(M596="",H596=""),"",IF((M596="met")=(H596="met"),1,0))</f>
        <v/>
      </c>
    </row>
    <row r="597">
      <c r="A597" s="2" t="inlineStr">
        <is>
          <t>S108</t>
        </is>
      </c>
      <c r="B597" s="2">
        <f>Key!B597</f>
        <v/>
      </c>
      <c r="C597" s="2">
        <f>Key!C597</f>
        <v/>
      </c>
      <c r="D597" s="2">
        <f>IF(Key!D597="","",Key!D597)</f>
        <v/>
      </c>
      <c r="E597" s="2">
        <f>IF(Label_Standalone!C109="","",Label_Standalone!C109)</f>
        <v/>
      </c>
      <c r="F597" s="2">
        <f>IF(Label_Standalone!D109="","",Label_Standalone!D109)</f>
        <v/>
      </c>
      <c r="G597" s="5" t="n"/>
      <c r="H597" s="2">
        <f>IF(G597&lt;&gt;"",G597,IF(AND(E597&lt;&gt;"",E597=F597,E597&lt;&gt;"unsure"),E597,""))</f>
        <v/>
      </c>
      <c r="I597" s="2">
        <f>IF(AND(OR(E597="met",E597="not_met"),OR(F597="met",F597="not_met")),1,0)</f>
        <v/>
      </c>
      <c r="J597" s="2">
        <f>IF(I597=1,IF(E597=F597,1,0),"")</f>
        <v/>
      </c>
      <c r="K597" s="2" t="n"/>
      <c r="L597" s="2" t="n"/>
      <c r="M597" s="2" t="n"/>
      <c r="N597" s="2">
        <f>IF(OR(K597="",H597=""),"",IF((K597="met")=(H597="met"),1,0))</f>
        <v/>
      </c>
      <c r="O597" s="2">
        <f>IF(OR(L597="",H597=""),"",IF((L597="met")=(H597="met"),1,0))</f>
        <v/>
      </c>
      <c r="P597" s="2">
        <f>IF(OR(M597="",H597=""),"",IF((M597="met")=(H597="met"),1,0))</f>
        <v/>
      </c>
    </row>
    <row r="598">
      <c r="A598" s="2" t="inlineStr">
        <is>
          <t>S109</t>
        </is>
      </c>
      <c r="B598" s="2">
        <f>Key!B598</f>
        <v/>
      </c>
      <c r="C598" s="2">
        <f>Key!C598</f>
        <v/>
      </c>
      <c r="D598" s="2">
        <f>IF(Key!D598="","",Key!D598)</f>
        <v/>
      </c>
      <c r="E598" s="2">
        <f>IF(Label_Standalone!C110="","",Label_Standalone!C110)</f>
        <v/>
      </c>
      <c r="F598" s="2">
        <f>IF(Label_Standalone!D110="","",Label_Standalone!D110)</f>
        <v/>
      </c>
      <c r="G598" s="5" t="n"/>
      <c r="H598" s="2">
        <f>IF(G598&lt;&gt;"",G598,IF(AND(E598&lt;&gt;"",E598=F598,E598&lt;&gt;"unsure"),E598,""))</f>
        <v/>
      </c>
      <c r="I598" s="2">
        <f>IF(AND(OR(E598="met",E598="not_met"),OR(F598="met",F598="not_met")),1,0)</f>
        <v/>
      </c>
      <c r="J598" s="2">
        <f>IF(I598=1,IF(E598=F598,1,0),"")</f>
        <v/>
      </c>
      <c r="K598" s="2" t="n"/>
      <c r="L598" s="2" t="n"/>
      <c r="M598" s="2" t="n"/>
      <c r="N598" s="2">
        <f>IF(OR(K598="",H598=""),"",IF((K598="met")=(H598="met"),1,0))</f>
        <v/>
      </c>
      <c r="O598" s="2">
        <f>IF(OR(L598="",H598=""),"",IF((L598="met")=(H598="met"),1,0))</f>
        <v/>
      </c>
      <c r="P598" s="2">
        <f>IF(OR(M598="",H598=""),"",IF((M598="met")=(H598="met"),1,0))</f>
        <v/>
      </c>
    </row>
    <row r="599">
      <c r="A599" s="2" t="inlineStr">
        <is>
          <t>S110</t>
        </is>
      </c>
      <c r="B599" s="2">
        <f>Key!B599</f>
        <v/>
      </c>
      <c r="C599" s="2">
        <f>Key!C599</f>
        <v/>
      </c>
      <c r="D599" s="2">
        <f>IF(Key!D599="","",Key!D599)</f>
        <v/>
      </c>
      <c r="E599" s="2">
        <f>IF(Label_Standalone!C111="","",Label_Standalone!C111)</f>
        <v/>
      </c>
      <c r="F599" s="2">
        <f>IF(Label_Standalone!D111="","",Label_Standalone!D111)</f>
        <v/>
      </c>
      <c r="G599" s="5" t="n"/>
      <c r="H599" s="2">
        <f>IF(G599&lt;&gt;"",G599,IF(AND(E599&lt;&gt;"",E599=F599,E599&lt;&gt;"unsure"),E599,""))</f>
        <v/>
      </c>
      <c r="I599" s="2">
        <f>IF(AND(OR(E599="met",E599="not_met"),OR(F599="met",F599="not_met")),1,0)</f>
        <v/>
      </c>
      <c r="J599" s="2">
        <f>IF(I599=1,IF(E599=F599,1,0),"")</f>
        <v/>
      </c>
      <c r="K599" s="2" t="n"/>
      <c r="L599" s="2" t="n"/>
      <c r="M599" s="2" t="n"/>
      <c r="N599" s="2">
        <f>IF(OR(K599="",H599=""),"",IF((K599="met")=(H599="met"),1,0))</f>
        <v/>
      </c>
      <c r="O599" s="2">
        <f>IF(OR(L599="",H599=""),"",IF((L599="met")=(H599="met"),1,0))</f>
        <v/>
      </c>
      <c r="P599" s="2">
        <f>IF(OR(M599="",H599=""),"",IF((M599="met")=(H599="met"),1,0))</f>
        <v/>
      </c>
    </row>
    <row r="600">
      <c r="A600" s="2" t="inlineStr">
        <is>
          <t>S111</t>
        </is>
      </c>
      <c r="B600" s="2">
        <f>Key!B600</f>
        <v/>
      </c>
      <c r="C600" s="2">
        <f>Key!C600</f>
        <v/>
      </c>
      <c r="D600" s="2">
        <f>IF(Key!D600="","",Key!D600)</f>
        <v/>
      </c>
      <c r="E600" s="2">
        <f>IF(Label_Standalone!C112="","",Label_Standalone!C112)</f>
        <v/>
      </c>
      <c r="F600" s="2">
        <f>IF(Label_Standalone!D112="","",Label_Standalone!D112)</f>
        <v/>
      </c>
      <c r="G600" s="5" t="n"/>
      <c r="H600" s="2">
        <f>IF(G600&lt;&gt;"",G600,IF(AND(E600&lt;&gt;"",E600=F600,E600&lt;&gt;"unsure"),E600,""))</f>
        <v/>
      </c>
      <c r="I600" s="2">
        <f>IF(AND(OR(E600="met",E600="not_met"),OR(F600="met",F600="not_met")),1,0)</f>
        <v/>
      </c>
      <c r="J600" s="2">
        <f>IF(I600=1,IF(E600=F600,1,0),"")</f>
        <v/>
      </c>
      <c r="K600" s="2" t="n"/>
      <c r="L600" s="2" t="n"/>
      <c r="M600" s="2" t="n"/>
      <c r="N600" s="2">
        <f>IF(OR(K600="",H600=""),"",IF((K600="met")=(H600="met"),1,0))</f>
        <v/>
      </c>
      <c r="O600" s="2">
        <f>IF(OR(L600="",H600=""),"",IF((L600="met")=(H600="met"),1,0))</f>
        <v/>
      </c>
      <c r="P600" s="2">
        <f>IF(OR(M600="",H600=""),"",IF((M600="met")=(H600="met"),1,0))</f>
        <v/>
      </c>
    </row>
    <row r="601">
      <c r="A601" s="2" t="inlineStr">
        <is>
          <t>S112</t>
        </is>
      </c>
      <c r="B601" s="2">
        <f>Key!B601</f>
        <v/>
      </c>
      <c r="C601" s="2">
        <f>Key!C601</f>
        <v/>
      </c>
      <c r="D601" s="2">
        <f>IF(Key!D601="","",Key!D601)</f>
        <v/>
      </c>
      <c r="E601" s="2">
        <f>IF(Label_Standalone!C113="","",Label_Standalone!C113)</f>
        <v/>
      </c>
      <c r="F601" s="2">
        <f>IF(Label_Standalone!D113="","",Label_Standalone!D113)</f>
        <v/>
      </c>
      <c r="G601" s="5" t="n"/>
      <c r="H601" s="2">
        <f>IF(G601&lt;&gt;"",G601,IF(AND(E601&lt;&gt;"",E601=F601,E601&lt;&gt;"unsure"),E601,""))</f>
        <v/>
      </c>
      <c r="I601" s="2">
        <f>IF(AND(OR(E601="met",E601="not_met"),OR(F601="met",F601="not_met")),1,0)</f>
        <v/>
      </c>
      <c r="J601" s="2">
        <f>IF(I601=1,IF(E601=F601,1,0),"")</f>
        <v/>
      </c>
      <c r="K601" s="2" t="n"/>
      <c r="L601" s="2" t="n"/>
      <c r="M601" s="2" t="n"/>
      <c r="N601" s="2">
        <f>IF(OR(K601="",H601=""),"",IF((K601="met")=(H601="met"),1,0))</f>
        <v/>
      </c>
      <c r="O601" s="2">
        <f>IF(OR(L601="",H601=""),"",IF((L601="met")=(H601="met"),1,0))</f>
        <v/>
      </c>
      <c r="P601" s="2">
        <f>IF(OR(M601="",H601=""),"",IF((M601="met")=(H601="met"),1,0))</f>
        <v/>
      </c>
    </row>
    <row r="602">
      <c r="A602" s="2" t="inlineStr">
        <is>
          <t>S113</t>
        </is>
      </c>
      <c r="B602" s="2">
        <f>Key!B602</f>
        <v/>
      </c>
      <c r="C602" s="2">
        <f>Key!C602</f>
        <v/>
      </c>
      <c r="D602" s="2">
        <f>IF(Key!D602="","",Key!D602)</f>
        <v/>
      </c>
      <c r="E602" s="2">
        <f>IF(Label_Standalone!C114="","",Label_Standalone!C114)</f>
        <v/>
      </c>
      <c r="F602" s="2">
        <f>IF(Label_Standalone!D114="","",Label_Standalone!D114)</f>
        <v/>
      </c>
      <c r="G602" s="5" t="n"/>
      <c r="H602" s="2">
        <f>IF(G602&lt;&gt;"",G602,IF(AND(E602&lt;&gt;"",E602=F602,E602&lt;&gt;"unsure"),E602,""))</f>
        <v/>
      </c>
      <c r="I602" s="2">
        <f>IF(AND(OR(E602="met",E602="not_met"),OR(F602="met",F602="not_met")),1,0)</f>
        <v/>
      </c>
      <c r="J602" s="2">
        <f>IF(I602=1,IF(E602=F602,1,0),"")</f>
        <v/>
      </c>
      <c r="K602" s="2" t="n"/>
      <c r="L602" s="2" t="n"/>
      <c r="M602" s="2" t="n"/>
      <c r="N602" s="2">
        <f>IF(OR(K602="",H602=""),"",IF((K602="met")=(H602="met"),1,0))</f>
        <v/>
      </c>
      <c r="O602" s="2">
        <f>IF(OR(L602="",H602=""),"",IF((L602="met")=(H602="met"),1,0))</f>
        <v/>
      </c>
      <c r="P602" s="2">
        <f>IF(OR(M602="",H602=""),"",IF((M602="met")=(H602="met"),1,0))</f>
        <v/>
      </c>
    </row>
    <row r="603">
      <c r="A603" s="2" t="inlineStr">
        <is>
          <t>S114</t>
        </is>
      </c>
      <c r="B603" s="2">
        <f>Key!B603</f>
        <v/>
      </c>
      <c r="C603" s="2">
        <f>Key!C603</f>
        <v/>
      </c>
      <c r="D603" s="2">
        <f>IF(Key!D603="","",Key!D603)</f>
        <v/>
      </c>
      <c r="E603" s="2">
        <f>IF(Label_Standalone!C115="","",Label_Standalone!C115)</f>
        <v/>
      </c>
      <c r="F603" s="2">
        <f>IF(Label_Standalone!D115="","",Label_Standalone!D115)</f>
        <v/>
      </c>
      <c r="G603" s="5" t="n"/>
      <c r="H603" s="2">
        <f>IF(G603&lt;&gt;"",G603,IF(AND(E603&lt;&gt;"",E603=F603,E603&lt;&gt;"unsure"),E603,""))</f>
        <v/>
      </c>
      <c r="I603" s="2">
        <f>IF(AND(OR(E603="met",E603="not_met"),OR(F603="met",F603="not_met")),1,0)</f>
        <v/>
      </c>
      <c r="J603" s="2">
        <f>IF(I603=1,IF(E603=F603,1,0),"")</f>
        <v/>
      </c>
      <c r="K603" s="2" t="n"/>
      <c r="L603" s="2" t="n"/>
      <c r="M603" s="2" t="n"/>
      <c r="N603" s="2">
        <f>IF(OR(K603="",H603=""),"",IF((K603="met")=(H603="met"),1,0))</f>
        <v/>
      </c>
      <c r="O603" s="2">
        <f>IF(OR(L603="",H603=""),"",IF((L603="met")=(H603="met"),1,0))</f>
        <v/>
      </c>
      <c r="P603" s="2">
        <f>IF(OR(M603="",H603=""),"",IF((M603="met")=(H603="met"),1,0))</f>
        <v/>
      </c>
    </row>
    <row r="604">
      <c r="A604" s="2" t="inlineStr">
        <is>
          <t>S115</t>
        </is>
      </c>
      <c r="B604" s="2">
        <f>Key!B604</f>
        <v/>
      </c>
      <c r="C604" s="2">
        <f>Key!C604</f>
        <v/>
      </c>
      <c r="D604" s="2">
        <f>IF(Key!D604="","",Key!D604)</f>
        <v/>
      </c>
      <c r="E604" s="2">
        <f>IF(Label_Standalone!C116="","",Label_Standalone!C116)</f>
        <v/>
      </c>
      <c r="F604" s="2">
        <f>IF(Label_Standalone!D116="","",Label_Standalone!D116)</f>
        <v/>
      </c>
      <c r="G604" s="5" t="n"/>
      <c r="H604" s="2">
        <f>IF(G604&lt;&gt;"",G604,IF(AND(E604&lt;&gt;"",E604=F604,E604&lt;&gt;"unsure"),E604,""))</f>
        <v/>
      </c>
      <c r="I604" s="2">
        <f>IF(AND(OR(E604="met",E604="not_met"),OR(F604="met",F604="not_met")),1,0)</f>
        <v/>
      </c>
      <c r="J604" s="2">
        <f>IF(I604=1,IF(E604=F604,1,0),"")</f>
        <v/>
      </c>
      <c r="K604" s="2" t="n"/>
      <c r="L604" s="2" t="n"/>
      <c r="M604" s="2" t="n"/>
      <c r="N604" s="2">
        <f>IF(OR(K604="",H604=""),"",IF((K604="met")=(H604="met"),1,0))</f>
        <v/>
      </c>
      <c r="O604" s="2">
        <f>IF(OR(L604="",H604=""),"",IF((L604="met")=(H604="met"),1,0))</f>
        <v/>
      </c>
      <c r="P604" s="2">
        <f>IF(OR(M604="",H604=""),"",IF((M604="met")=(H604="met"),1,0))</f>
        <v/>
      </c>
    </row>
    <row r="605">
      <c r="A605" s="2" t="inlineStr">
        <is>
          <t>S116</t>
        </is>
      </c>
      <c r="B605" s="2">
        <f>Key!B605</f>
        <v/>
      </c>
      <c r="C605" s="2">
        <f>Key!C605</f>
        <v/>
      </c>
      <c r="D605" s="2">
        <f>IF(Key!D605="","",Key!D605)</f>
        <v/>
      </c>
      <c r="E605" s="2">
        <f>IF(Label_Standalone!C117="","",Label_Standalone!C117)</f>
        <v/>
      </c>
      <c r="F605" s="2">
        <f>IF(Label_Standalone!D117="","",Label_Standalone!D117)</f>
        <v/>
      </c>
      <c r="G605" s="5" t="n"/>
      <c r="H605" s="2">
        <f>IF(G605&lt;&gt;"",G605,IF(AND(E605&lt;&gt;"",E605=F605,E605&lt;&gt;"unsure"),E605,""))</f>
        <v/>
      </c>
      <c r="I605" s="2">
        <f>IF(AND(OR(E605="met",E605="not_met"),OR(F605="met",F605="not_met")),1,0)</f>
        <v/>
      </c>
      <c r="J605" s="2">
        <f>IF(I605=1,IF(E605=F605,1,0),"")</f>
        <v/>
      </c>
      <c r="K605" s="2" t="n"/>
      <c r="L605" s="2" t="n"/>
      <c r="M605" s="2" t="n"/>
      <c r="N605" s="2">
        <f>IF(OR(K605="",H605=""),"",IF((K605="met")=(H605="met"),1,0))</f>
        <v/>
      </c>
      <c r="O605" s="2">
        <f>IF(OR(L605="",H605=""),"",IF((L605="met")=(H605="met"),1,0))</f>
        <v/>
      </c>
      <c r="P605" s="2">
        <f>IF(OR(M605="",H605=""),"",IF((M605="met")=(H605="met"),1,0))</f>
        <v/>
      </c>
    </row>
    <row r="606">
      <c r="A606" s="2" t="inlineStr">
        <is>
          <t>S117</t>
        </is>
      </c>
      <c r="B606" s="2">
        <f>Key!B606</f>
        <v/>
      </c>
      <c r="C606" s="2">
        <f>Key!C606</f>
        <v/>
      </c>
      <c r="D606" s="2">
        <f>IF(Key!D606="","",Key!D606)</f>
        <v/>
      </c>
      <c r="E606" s="2">
        <f>IF(Label_Standalone!C118="","",Label_Standalone!C118)</f>
        <v/>
      </c>
      <c r="F606" s="2">
        <f>IF(Label_Standalone!D118="","",Label_Standalone!D118)</f>
        <v/>
      </c>
      <c r="G606" s="5" t="n"/>
      <c r="H606" s="2">
        <f>IF(G606&lt;&gt;"",G606,IF(AND(E606&lt;&gt;"",E606=F606,E606&lt;&gt;"unsure"),E606,""))</f>
        <v/>
      </c>
      <c r="I606" s="2">
        <f>IF(AND(OR(E606="met",E606="not_met"),OR(F606="met",F606="not_met")),1,0)</f>
        <v/>
      </c>
      <c r="J606" s="2">
        <f>IF(I606=1,IF(E606=F606,1,0),"")</f>
        <v/>
      </c>
      <c r="K606" s="2" t="n"/>
      <c r="L606" s="2" t="n"/>
      <c r="M606" s="2" t="n"/>
      <c r="N606" s="2">
        <f>IF(OR(K606="",H606=""),"",IF((K606="met")=(H606="met"),1,0))</f>
        <v/>
      </c>
      <c r="O606" s="2">
        <f>IF(OR(L606="",H606=""),"",IF((L606="met")=(H606="met"),1,0))</f>
        <v/>
      </c>
      <c r="P606" s="2">
        <f>IF(OR(M606="",H606=""),"",IF((M606="met")=(H606="met"),1,0))</f>
        <v/>
      </c>
    </row>
    <row r="607">
      <c r="A607" s="2" t="inlineStr">
        <is>
          <t>S118</t>
        </is>
      </c>
      <c r="B607" s="2">
        <f>Key!B607</f>
        <v/>
      </c>
      <c r="C607" s="2">
        <f>Key!C607</f>
        <v/>
      </c>
      <c r="D607" s="2">
        <f>IF(Key!D607="","",Key!D607)</f>
        <v/>
      </c>
      <c r="E607" s="2">
        <f>IF(Label_Standalone!C119="","",Label_Standalone!C119)</f>
        <v/>
      </c>
      <c r="F607" s="2">
        <f>IF(Label_Standalone!D119="","",Label_Standalone!D119)</f>
        <v/>
      </c>
      <c r="G607" s="5" t="n"/>
      <c r="H607" s="2">
        <f>IF(G607&lt;&gt;"",G607,IF(AND(E607&lt;&gt;"",E607=F607,E607&lt;&gt;"unsure"),E607,""))</f>
        <v/>
      </c>
      <c r="I607" s="2">
        <f>IF(AND(OR(E607="met",E607="not_met"),OR(F607="met",F607="not_met")),1,0)</f>
        <v/>
      </c>
      <c r="J607" s="2">
        <f>IF(I607=1,IF(E607=F607,1,0),"")</f>
        <v/>
      </c>
      <c r="K607" s="2" t="n"/>
      <c r="L607" s="2" t="n"/>
      <c r="M607" s="2" t="n"/>
      <c r="N607" s="2">
        <f>IF(OR(K607="",H607=""),"",IF((K607="met")=(H607="met"),1,0))</f>
        <v/>
      </c>
      <c r="O607" s="2">
        <f>IF(OR(L607="",H607=""),"",IF((L607="met")=(H607="met"),1,0))</f>
        <v/>
      </c>
      <c r="P607" s="2">
        <f>IF(OR(M607="",H607=""),"",IF((M607="met")=(H607="met"),1,0))</f>
        <v/>
      </c>
    </row>
    <row r="608">
      <c r="A608" s="2" t="inlineStr">
        <is>
          <t>S119</t>
        </is>
      </c>
      <c r="B608" s="2">
        <f>Key!B608</f>
        <v/>
      </c>
      <c r="C608" s="2">
        <f>Key!C608</f>
        <v/>
      </c>
      <c r="D608" s="2">
        <f>IF(Key!D608="","",Key!D608)</f>
        <v/>
      </c>
      <c r="E608" s="2">
        <f>IF(Label_Standalone!C120="","",Label_Standalone!C120)</f>
        <v/>
      </c>
      <c r="F608" s="2">
        <f>IF(Label_Standalone!D120="","",Label_Standalone!D120)</f>
        <v/>
      </c>
      <c r="G608" s="5" t="n"/>
      <c r="H608" s="2">
        <f>IF(G608&lt;&gt;"",G608,IF(AND(E608&lt;&gt;"",E608=F608,E608&lt;&gt;"unsure"),E608,""))</f>
        <v/>
      </c>
      <c r="I608" s="2">
        <f>IF(AND(OR(E608="met",E608="not_met"),OR(F608="met",F608="not_met")),1,0)</f>
        <v/>
      </c>
      <c r="J608" s="2">
        <f>IF(I608=1,IF(E608=F608,1,0),"")</f>
        <v/>
      </c>
      <c r="K608" s="2" t="n"/>
      <c r="L608" s="2" t="n"/>
      <c r="M608" s="2" t="n"/>
      <c r="N608" s="2">
        <f>IF(OR(K608="",H608=""),"",IF((K608="met")=(H608="met"),1,0))</f>
        <v/>
      </c>
      <c r="O608" s="2">
        <f>IF(OR(L608="",H608=""),"",IF((L608="met")=(H608="met"),1,0))</f>
        <v/>
      </c>
      <c r="P608" s="2">
        <f>IF(OR(M608="",H608=""),"",IF((M608="met")=(H608="met"),1,0))</f>
        <v/>
      </c>
    </row>
    <row r="609">
      <c r="A609" s="2" t="inlineStr">
        <is>
          <t>S120</t>
        </is>
      </c>
      <c r="B609" s="2">
        <f>Key!B609</f>
        <v/>
      </c>
      <c r="C609" s="2">
        <f>Key!C609</f>
        <v/>
      </c>
      <c r="D609" s="2">
        <f>IF(Key!D609="","",Key!D609)</f>
        <v/>
      </c>
      <c r="E609" s="2">
        <f>IF(Label_Standalone!C121="","",Label_Standalone!C121)</f>
        <v/>
      </c>
      <c r="F609" s="2">
        <f>IF(Label_Standalone!D121="","",Label_Standalone!D121)</f>
        <v/>
      </c>
      <c r="G609" s="5" t="n"/>
      <c r="H609" s="2">
        <f>IF(G609&lt;&gt;"",G609,IF(AND(E609&lt;&gt;"",E609=F609,E609&lt;&gt;"unsure"),E609,""))</f>
        <v/>
      </c>
      <c r="I609" s="2">
        <f>IF(AND(OR(E609="met",E609="not_met"),OR(F609="met",F609="not_met")),1,0)</f>
        <v/>
      </c>
      <c r="J609" s="2">
        <f>IF(I609=1,IF(E609=F609,1,0),"")</f>
        <v/>
      </c>
      <c r="K609" s="2" t="n"/>
      <c r="L609" s="2" t="n"/>
      <c r="M609" s="2" t="n"/>
      <c r="N609" s="2">
        <f>IF(OR(K609="",H609=""),"",IF((K609="met")=(H609="met"),1,0))</f>
        <v/>
      </c>
      <c r="O609" s="2">
        <f>IF(OR(L609="",H609=""),"",IF((L609="met")=(H609="met"),1,0))</f>
        <v/>
      </c>
      <c r="P609" s="2">
        <f>IF(OR(M609="",H609=""),"",IF((M609="met")=(H609="met"),1,0))</f>
        <v/>
      </c>
    </row>
  </sheetData>
  <dataValidations count="1">
    <dataValidation sqref="G2:G609" showDropDown="0" showInputMessage="0" showErrorMessage="0" allowBlank="1" type="list">
      <formula1>"met,not_met,unsure"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3" t="inlineStr">
        <is>
          <t>Labeler agreement</t>
        </is>
      </c>
    </row>
    <row r="2">
      <c r="A2" s="2" t="inlineStr">
        <is>
          <t>Rows both labeled (met / not_met)</t>
        </is>
      </c>
      <c r="B2" s="2">
        <f>SUM(Results!$I$2:$I$609)</f>
        <v/>
      </c>
    </row>
    <row r="3">
      <c r="A3" s="2" t="inlineStr">
        <is>
          <t>Rows you agree on</t>
        </is>
      </c>
      <c r="B3" s="2">
        <f>SUM(Results!$J$2:$J$609)</f>
        <v/>
      </c>
    </row>
    <row r="4">
      <c r="A4" s="2" t="inlineStr">
        <is>
          <t>Agreement</t>
        </is>
      </c>
      <c r="B4" s="7">
        <f>IFERROR(B3/B2,"")</f>
        <v/>
      </c>
    </row>
    <row r="5">
      <c r="A5" s="2" t="inlineStr">
        <is>
          <t>Gideon met (both-labeled rows)</t>
        </is>
      </c>
      <c r="B5" s="2">
        <f>COUNTIFS(Results!$I$2:$I$609,1,Results!$E$2:$E$609,"met")</f>
        <v/>
      </c>
    </row>
    <row r="6">
      <c r="A6" s="2" t="inlineStr">
        <is>
          <t>Suning met (both-labeled rows)</t>
        </is>
      </c>
      <c r="B6" s="2">
        <f>COUNTIFS(Results!$I$2:$I$609,1,Results!$F$2:$F$609,"met")</f>
        <v/>
      </c>
    </row>
    <row r="7">
      <c r="A7" s="2" t="inlineStr">
        <is>
          <t>Chance agreement</t>
        </is>
      </c>
      <c r="B7" s="7">
        <f>IFERROR((B5*B6+(B2-B5)*(B2-B6))/B2^2,"")</f>
        <v/>
      </c>
    </row>
    <row r="8">
      <c r="A8" s="2" t="inlineStr">
        <is>
          <t>Cohen's kappa</t>
        </is>
      </c>
      <c r="B8" s="7">
        <f>IFERROR((B4-B7)/(1-B7),"")</f>
        <v/>
      </c>
    </row>
    <row r="9">
      <c r="A9" s="2" t="inlineStr">
        <is>
          <t>Rows with a final gold label</t>
        </is>
      </c>
      <c r="B9" s="2">
        <f>COUNTIF(Results!$H$2:$H$609,"met")+COUNTIF(Results!$H$2:$H$609,"not_met")</f>
        <v/>
      </c>
    </row>
    <row r="12">
      <c r="A12" s="3" t="inlineStr">
        <is>
          <t>Agent vs final gold</t>
        </is>
      </c>
    </row>
    <row r="13">
      <c r="A13" s="3" t="inlineStr">
        <is>
          <t>Mode</t>
        </is>
      </c>
      <c r="B13" s="3" t="inlineStr">
        <is>
          <t>TP</t>
        </is>
      </c>
      <c r="C13" s="3" t="inlineStr">
        <is>
          <t>FP</t>
        </is>
      </c>
      <c r="D13" s="3" t="inlineStr">
        <is>
          <t>FN</t>
        </is>
      </c>
      <c r="E13" s="3" t="inlineStr">
        <is>
          <t>TN</t>
        </is>
      </c>
      <c r="F13" s="3" t="inlineStr">
        <is>
          <t>Precision</t>
        </is>
      </c>
      <c r="G13" s="3" t="inlineStr">
        <is>
          <t>Recall</t>
        </is>
      </c>
      <c r="H13" s="3" t="inlineStr">
        <is>
          <t>F1</t>
        </is>
      </c>
      <c r="I13" s="3" t="inlineStr">
        <is>
          <t>Accuracy</t>
        </is>
      </c>
    </row>
    <row r="14">
      <c r="A14" s="2" t="inlineStr">
        <is>
          <t>full</t>
        </is>
      </c>
      <c r="B14" s="2">
        <f>COUNTIFS(Results!$H$2:$H$609,"met",Results!$K$2:$K$609,"met")</f>
        <v/>
      </c>
      <c r="C14" s="2">
        <f>COUNTIFS(Results!$H$2:$H$609,"not_met",Results!$K$2:$K$609,"met")</f>
        <v/>
      </c>
      <c r="D14" s="2">
        <f>COUNTIFS(Results!$H$2:$H$609,"met",Results!$K$2:$K$609,"not_met")+COUNTIFS(Results!$H$2:$H$609,"met",Results!$K$2:$K$609,"undetermined")+COUNTIFS(Results!$H$2:$H$609,"met",Results!$K$2:$K$609,"not_run")</f>
        <v/>
      </c>
      <c r="E14" s="2">
        <f>COUNTIFS(Results!$H$2:$H$609,"not_met",Results!$K$2:$K$609,"not_met")+COUNTIFS(Results!$H$2:$H$609,"not_met",Results!$K$2:$K$609,"undetermined")+COUNTIFS(Results!$H$2:$H$609,"not_met",Results!$K$2:$K$609,"not_run")</f>
        <v/>
      </c>
      <c r="F14" s="7">
        <f>IFERROR(B14/(B14+C14),"")</f>
        <v/>
      </c>
      <c r="G14" s="7">
        <f>IFERROR(B14/(B14+D14),"")</f>
        <v/>
      </c>
      <c r="H14" s="7">
        <f>IFERROR(2*F14*G14/(F14+G14),"")</f>
        <v/>
      </c>
      <c r="I14" s="7">
        <f>IFERROR((B14+E14)/SUM(B14:E14),"")</f>
        <v/>
      </c>
    </row>
    <row r="15">
      <c r="A15" s="2" t="inlineStr">
        <is>
          <t>task_only</t>
        </is>
      </c>
      <c r="B15" s="2">
        <f>COUNTIFS(Results!$H$2:$H$609,"met",Results!$L$2:$L$609,"met")</f>
        <v/>
      </c>
      <c r="C15" s="2">
        <f>COUNTIFS(Results!$H$2:$H$609,"not_met",Results!$L$2:$L$609,"met")</f>
        <v/>
      </c>
      <c r="D15" s="2">
        <f>COUNTIFS(Results!$H$2:$H$609,"met",Results!$L$2:$L$609,"not_met")+COUNTIFS(Results!$H$2:$H$609,"met",Results!$L$2:$L$609,"undetermined")+COUNTIFS(Results!$H$2:$H$609,"met",Results!$L$2:$L$609,"not_run")</f>
        <v/>
      </c>
      <c r="E15" s="2">
        <f>COUNTIFS(Results!$H$2:$H$609,"not_met",Results!$L$2:$L$609,"not_met")+COUNTIFS(Results!$H$2:$H$609,"not_met",Results!$L$2:$L$609,"undetermined")+COUNTIFS(Results!$H$2:$H$609,"not_met",Results!$L$2:$L$609,"not_run")</f>
        <v/>
      </c>
      <c r="F15" s="7">
        <f>IFERROR(B15/(B15+C15),"")</f>
        <v/>
      </c>
      <c r="G15" s="7">
        <f>IFERROR(B15/(B15+D15),"")</f>
        <v/>
      </c>
      <c r="H15" s="7">
        <f>IFERROR(2*F15*G15/(F15+G15),"")</f>
        <v/>
      </c>
      <c r="I15" s="7">
        <f>IFERROR((B15+E15)/SUM(B15:E15),"")</f>
        <v/>
      </c>
    </row>
    <row r="16">
      <c r="A16" s="2" t="inlineStr">
        <is>
          <t>rules_only</t>
        </is>
      </c>
      <c r="B16" s="2">
        <f>COUNTIFS(Results!$H$2:$H$609,"met",Results!$M$2:$M$609,"met")</f>
        <v/>
      </c>
      <c r="C16" s="2">
        <f>COUNTIFS(Results!$H$2:$H$609,"not_met",Results!$M$2:$M$609,"met")</f>
        <v/>
      </c>
      <c r="D16" s="2">
        <f>COUNTIFS(Results!$H$2:$H$609,"met",Results!$M$2:$M$609,"not_met")+COUNTIFS(Results!$H$2:$H$609,"met",Results!$M$2:$M$609,"undetermined")+COUNTIFS(Results!$H$2:$H$609,"met",Results!$M$2:$M$609,"not_run")</f>
        <v/>
      </c>
      <c r="E16" s="2">
        <f>COUNTIFS(Results!$H$2:$H$609,"not_met",Results!$M$2:$M$609,"not_met")+COUNTIFS(Results!$H$2:$H$609,"not_met",Results!$M$2:$M$609,"undetermined")+COUNTIFS(Results!$H$2:$H$609,"not_met",Results!$M$2:$M$609,"not_run")</f>
        <v/>
      </c>
      <c r="F16" s="7">
        <f>IFERROR(B16/(B16+C16),"")</f>
        <v/>
      </c>
      <c r="G16" s="7">
        <f>IFERROR(B16/(B16+D16),"")</f>
        <v/>
      </c>
      <c r="H16" s="7">
        <f>IFERROR(2*F16*G16/(F16+G16),"")</f>
        <v/>
      </c>
      <c r="I16" s="7">
        <f>IFERROR((B16+E16)/SUM(B16:E16),"")</f>
        <v/>
      </c>
    </row>
    <row r="18">
      <c r="A18" s="3" t="inlineStr">
        <is>
          <t>Accuracy by category (share of rows the agent got right)</t>
        </is>
      </c>
    </row>
    <row r="19">
      <c r="A19" s="3" t="inlineStr">
        <is>
          <t>Category</t>
        </is>
      </c>
      <c r="B19" s="3" t="inlineStr">
        <is>
          <t>Rows</t>
        </is>
      </c>
      <c r="C19" s="3" t="inlineStr">
        <is>
          <t>Intended</t>
        </is>
      </c>
      <c r="D19" s="3" t="inlineStr">
        <is>
          <t>Labelers agree</t>
        </is>
      </c>
      <c r="E19" s="3" t="inlineStr">
        <is>
          <t>full</t>
        </is>
      </c>
      <c r="F19" s="3" t="inlineStr">
        <is>
          <t>task_only</t>
        </is>
      </c>
      <c r="G19" s="3" t="inlineStr">
        <is>
          <t>rules_only</t>
        </is>
      </c>
    </row>
    <row r="20">
      <c r="A20" s="2" t="inlineStr">
        <is>
          <t>SWEEP-ABS</t>
        </is>
      </c>
      <c r="B20" s="2">
        <f>COUNTIF(Results!$C$2:$C$609,A20)</f>
        <v/>
      </c>
      <c r="C20" s="2" t="inlineStr">
        <is>
          <t>met</t>
        </is>
      </c>
      <c r="D20" s="7">
        <f>IFERROR(SUMIFS(Results!$J$2:$J$609,Results!$C$2:$C$609,A20)/COUNTIFS(Results!$C$2:$C$609,A20,Results!$I$2:$I$609,1),"")</f>
        <v/>
      </c>
      <c r="E20" s="7">
        <f>IFERROR(SUMIFS(Results!$N$2:$N$609,Results!$C$2:$C$609,A20)/COUNTIFS(Results!$C$2:$C$609,A20,Results!$N$2:$N$609,"&gt;=0"),"")</f>
        <v/>
      </c>
      <c r="F20" s="7">
        <f>IFERROR(SUMIFS(Results!$O$2:$O$609,Results!$C$2:$C$609,A20)/COUNTIFS(Results!$C$2:$C$609,A20,Results!$O$2:$O$609,"&gt;=0"),"")</f>
        <v/>
      </c>
      <c r="G20" s="7">
        <f>IFERROR(SUMIFS(Results!$P$2:$P$609,Results!$C$2:$C$609,A20)/COUNTIFS(Results!$C$2:$C$609,A20,Results!$P$2:$P$609,"&gt;=0"),"")</f>
        <v/>
      </c>
    </row>
    <row r="21">
      <c r="A21" s="2" t="inlineStr">
        <is>
          <t>SWEEP-GENERIC</t>
        </is>
      </c>
      <c r="B21" s="2">
        <f>COUNTIF(Results!$C$2:$C$609,A21)</f>
        <v/>
      </c>
      <c r="C21" s="2" t="inlineStr">
        <is>
          <t>met</t>
        </is>
      </c>
      <c r="D21" s="7">
        <f>IFERROR(SUMIFS(Results!$J$2:$J$609,Results!$C$2:$C$609,A21)/COUNTIFS(Results!$C$2:$C$609,A21,Results!$I$2:$I$609,1),"")</f>
        <v/>
      </c>
      <c r="E21" s="7">
        <f>IFERROR(SUMIFS(Results!$N$2:$N$609,Results!$C$2:$C$609,A21)/COUNTIFS(Results!$C$2:$C$609,A21,Results!$N$2:$N$609,"&gt;=0"),"")</f>
        <v/>
      </c>
      <c r="F21" s="7">
        <f>IFERROR(SUMIFS(Results!$O$2:$O$609,Results!$C$2:$C$609,A21)/COUNTIFS(Results!$C$2:$C$609,A21,Results!$O$2:$O$609,"&gt;=0"),"")</f>
        <v/>
      </c>
      <c r="G21" s="7">
        <f>IFERROR(SUMIFS(Results!$P$2:$P$609,Results!$C$2:$C$609,A21)/COUNTIFS(Results!$C$2:$C$609,A21,Results!$P$2:$P$609,"&gt;=0"),"")</f>
        <v/>
      </c>
    </row>
    <row r="22">
      <c r="A22" s="2" t="inlineStr">
        <is>
          <t>SWEEP-SUPERLATIVE</t>
        </is>
      </c>
      <c r="B22" s="2">
        <f>COUNTIF(Results!$C$2:$C$609,A22)</f>
        <v/>
      </c>
      <c r="C22" s="2" t="inlineStr">
        <is>
          <t>met</t>
        </is>
      </c>
      <c r="D22" s="7">
        <f>IFERROR(SUMIFS(Results!$J$2:$J$609,Results!$C$2:$C$609,A22)/COUNTIFS(Results!$C$2:$C$609,A22,Results!$I$2:$I$609,1),"")</f>
        <v/>
      </c>
      <c r="E22" s="7">
        <f>IFERROR(SUMIFS(Results!$N$2:$N$609,Results!$C$2:$C$609,A22)/COUNTIFS(Results!$C$2:$C$609,A22,Results!$N$2:$N$609,"&gt;=0"),"")</f>
        <v/>
      </c>
      <c r="F22" s="7">
        <f>IFERROR(SUMIFS(Results!$O$2:$O$609,Results!$C$2:$C$609,A22)/COUNTIFS(Results!$C$2:$C$609,A22,Results!$O$2:$O$609,"&gt;=0"),"")</f>
        <v/>
      </c>
      <c r="G22" s="7">
        <f>IFERROR(SUMIFS(Results!$P$2:$P$609,Results!$C$2:$C$609,A22)/COUNTIFS(Results!$C$2:$C$609,A22,Results!$P$2:$P$609,"&gt;=0"),"")</f>
        <v/>
      </c>
    </row>
    <row r="23">
      <c r="A23" s="2" t="inlineStr">
        <is>
          <t>TRUE-ABS</t>
        </is>
      </c>
      <c r="B23" s="2">
        <f>COUNTIF(Results!$C$2:$C$609,A23)</f>
        <v/>
      </c>
      <c r="C23" s="2" t="inlineStr">
        <is>
          <t>not_met</t>
        </is>
      </c>
      <c r="D23" s="7">
        <f>IFERROR(SUMIFS(Results!$J$2:$J$609,Results!$C$2:$C$609,A23)/COUNTIFS(Results!$C$2:$C$609,A23,Results!$I$2:$I$609,1),"")</f>
        <v/>
      </c>
      <c r="E23" s="7">
        <f>IFERROR(SUMIFS(Results!$N$2:$N$609,Results!$C$2:$C$609,A23)/COUNTIFS(Results!$C$2:$C$609,A23,Results!$N$2:$N$609,"&gt;=0"),"")</f>
        <v/>
      </c>
      <c r="F23" s="7">
        <f>IFERROR(SUMIFS(Results!$O$2:$O$609,Results!$C$2:$C$609,A23)/COUNTIFS(Results!$C$2:$C$609,A23,Results!$O$2:$O$609,"&gt;=0"),"")</f>
        <v/>
      </c>
      <c r="G23" s="7">
        <f>IFERROR(SUMIFS(Results!$P$2:$P$609,Results!$C$2:$C$609,A23)/COUNTIFS(Results!$C$2:$C$609,A23,Results!$P$2:$P$609,"&gt;=0"),"")</f>
        <v/>
      </c>
    </row>
    <row r="24">
      <c r="A24" s="2" t="inlineStr">
        <is>
          <t>RULE</t>
        </is>
      </c>
      <c r="B24" s="2">
        <f>COUNTIF(Results!$C$2:$C$609,A24)</f>
        <v/>
      </c>
      <c r="C24" s="2" t="inlineStr">
        <is>
          <t>not_met</t>
        </is>
      </c>
      <c r="D24" s="7">
        <f>IFERROR(SUMIFS(Results!$J$2:$J$609,Results!$C$2:$C$609,A24)/COUNTIFS(Results!$C$2:$C$609,A24,Results!$I$2:$I$609,1),"")</f>
        <v/>
      </c>
      <c r="E24" s="7">
        <f>IFERROR(SUMIFS(Results!$N$2:$N$609,Results!$C$2:$C$609,A24)/COUNTIFS(Results!$C$2:$C$609,A24,Results!$N$2:$N$609,"&gt;=0"),"")</f>
        <v/>
      </c>
      <c r="F24" s="7">
        <f>IFERROR(SUMIFS(Results!$O$2:$O$609,Results!$C$2:$C$609,A24)/COUNTIFS(Results!$C$2:$C$609,A24,Results!$O$2:$O$609,"&gt;=0"),"")</f>
        <v/>
      </c>
      <c r="G24" s="7">
        <f>IFERROR(SUMIFS(Results!$P$2:$P$609,Results!$C$2:$C$609,A24)/COUNTIFS(Results!$C$2:$C$609,A24,Results!$P$2:$P$609,"&gt;=0"),"")</f>
        <v/>
      </c>
    </row>
    <row r="25">
      <c r="A25" s="2" t="inlineStr">
        <is>
          <t>SCOPED</t>
        </is>
      </c>
      <c r="B25" s="2">
        <f>COUNTIF(Results!$C$2:$C$609,A25)</f>
        <v/>
      </c>
      <c r="C25" s="2" t="inlineStr">
        <is>
          <t>not_met</t>
        </is>
      </c>
      <c r="D25" s="7">
        <f>IFERROR(SUMIFS(Results!$J$2:$J$609,Results!$C$2:$C$609,A25)/COUNTIFS(Results!$C$2:$C$609,A25,Results!$I$2:$I$609,1),"")</f>
        <v/>
      </c>
      <c r="E25" s="7">
        <f>IFERROR(SUMIFS(Results!$N$2:$N$609,Results!$C$2:$C$609,A25)/COUNTIFS(Results!$C$2:$C$609,A25,Results!$N$2:$N$609,"&gt;=0"),"")</f>
        <v/>
      </c>
      <c r="F25" s="7">
        <f>IFERROR(SUMIFS(Results!$O$2:$O$609,Results!$C$2:$C$609,A25)/COUNTIFS(Results!$C$2:$C$609,A25,Results!$O$2:$O$609,"&gt;=0"),"")</f>
        <v/>
      </c>
      <c r="G25" s="7">
        <f>IFERROR(SUMIFS(Results!$P$2:$P$609,Results!$C$2:$C$609,A25)/COUNTIFS(Results!$C$2:$C$609,A25,Results!$P$2:$P$609,"&gt;=0"),"")</f>
        <v/>
      </c>
    </row>
    <row r="26">
      <c r="A26" s="2" t="inlineStr">
        <is>
          <t>REPORTED</t>
        </is>
      </c>
      <c r="B26" s="2">
        <f>COUNTIF(Results!$C$2:$C$609,A26)</f>
        <v/>
      </c>
      <c r="C26" s="2" t="inlineStr">
        <is>
          <t>not_met</t>
        </is>
      </c>
      <c r="D26" s="7">
        <f>IFERROR(SUMIFS(Results!$J$2:$J$609,Results!$C$2:$C$609,A26)/COUNTIFS(Results!$C$2:$C$609,A26,Results!$I$2:$I$609,1),"")</f>
        <v/>
      </c>
      <c r="E26" s="7">
        <f>IFERROR(SUMIFS(Results!$N$2:$N$609,Results!$C$2:$C$609,A26)/COUNTIFS(Results!$C$2:$C$609,A26,Results!$N$2:$N$609,"&gt;=0"),"")</f>
        <v/>
      </c>
      <c r="F26" s="7">
        <f>IFERROR(SUMIFS(Results!$O$2:$O$609,Results!$C$2:$C$609,A26)/COUNTIFS(Results!$C$2:$C$609,A26,Results!$O$2:$O$609,"&gt;=0"),"")</f>
        <v/>
      </c>
      <c r="G26" s="7">
        <f>IFERROR(SUMIFS(Results!$P$2:$P$609,Results!$C$2:$C$609,A26)/COUNTIFS(Results!$C$2:$C$609,A26,Results!$P$2:$P$609,"&gt;=0"),"")</f>
        <v/>
      </c>
    </row>
    <row r="27">
      <c r="A27" s="2" t="inlineStr">
        <is>
          <t>HEDGED</t>
        </is>
      </c>
      <c r="B27" s="2">
        <f>COUNTIF(Results!$C$2:$C$609,A27)</f>
        <v/>
      </c>
      <c r="C27" s="2" t="inlineStr">
        <is>
          <t>not_met</t>
        </is>
      </c>
      <c r="D27" s="7">
        <f>IFERROR(SUMIFS(Results!$J$2:$J$609,Results!$C$2:$C$609,A27)/COUNTIFS(Results!$C$2:$C$609,A27,Results!$I$2:$I$609,1),"")</f>
        <v/>
      </c>
      <c r="E27" s="7">
        <f>IFERROR(SUMIFS(Results!$N$2:$N$609,Results!$C$2:$C$609,A27)/COUNTIFS(Results!$C$2:$C$609,A27,Results!$N$2:$N$609,"&gt;=0"),"")</f>
        <v/>
      </c>
      <c r="F27" s="7">
        <f>IFERROR(SUMIFS(Results!$O$2:$O$609,Results!$C$2:$C$609,A27)/COUNTIFS(Results!$C$2:$C$609,A27,Results!$O$2:$O$609,"&gt;=0"),"")</f>
        <v/>
      </c>
      <c r="G27" s="7">
        <f>IFERROR(SUMIFS(Results!$P$2:$P$609,Results!$C$2:$C$609,A27)/COUNTIFS(Results!$C$2:$C$609,A27,Results!$P$2:$P$609,"&gt;=0"),"")</f>
        <v/>
      </c>
    </row>
    <row r="28">
      <c r="A28" s="2" t="inlineStr">
        <is>
          <t>PAIR-HEDGED</t>
        </is>
      </c>
      <c r="B28" s="2">
        <f>COUNTIF(Results!$C$2:$C$609,A28)</f>
        <v/>
      </c>
      <c r="C28" s="2" t="inlineStr">
        <is>
          <t>not_met</t>
        </is>
      </c>
      <c r="D28" s="7">
        <f>IFERROR(SUMIFS(Results!$J$2:$J$609,Results!$C$2:$C$609,A28)/COUNTIFS(Results!$C$2:$C$609,A28,Results!$I$2:$I$609,1),"")</f>
        <v/>
      </c>
      <c r="E28" s="7">
        <f>IFERROR(SUMIFS(Results!$N$2:$N$609,Results!$C$2:$C$609,A28)/COUNTIFS(Results!$C$2:$C$609,A28,Results!$N$2:$N$609,"&gt;=0"),"")</f>
        <v/>
      </c>
      <c r="F28" s="7">
        <f>IFERROR(SUMIFS(Results!$O$2:$O$609,Results!$C$2:$C$609,A28)/COUNTIFS(Results!$C$2:$C$609,A28,Results!$O$2:$O$609,"&gt;=0"),"")</f>
        <v/>
      </c>
      <c r="G28" s="7">
        <f>IFERROR(SUMIFS(Results!$P$2:$P$609,Results!$C$2:$C$609,A28)/COUNTIFS(Results!$C$2:$C$609,A28,Results!$P$2:$P$609,"&gt;=0"),"")</f>
        <v/>
      </c>
    </row>
    <row r="29">
      <c r="A29" s="2" t="inlineStr">
        <is>
          <t>NEUTRAL</t>
        </is>
      </c>
      <c r="B29" s="2">
        <f>COUNTIF(Results!$C$2:$C$609,A29)</f>
        <v/>
      </c>
      <c r="C29" s="2" t="inlineStr">
        <is>
          <t>not_met</t>
        </is>
      </c>
      <c r="D29" s="7">
        <f>IFERROR(SUMIFS(Results!$J$2:$J$609,Results!$C$2:$C$609,A29)/COUNTIFS(Results!$C$2:$C$609,A29,Results!$I$2:$I$609,1),"")</f>
        <v/>
      </c>
      <c r="E29" s="7">
        <f>IFERROR(SUMIFS(Results!$N$2:$N$609,Results!$C$2:$C$609,A29)/COUNTIFS(Results!$C$2:$C$609,A29,Results!$N$2:$N$609,"&gt;=0"),"")</f>
        <v/>
      </c>
      <c r="F29" s="7">
        <f>IFERROR(SUMIFS(Results!$O$2:$O$609,Results!$C$2:$C$609,A29)/COUNTIFS(Results!$C$2:$C$609,A29,Results!$O$2:$O$609,"&gt;=0"),"")</f>
        <v/>
      </c>
      <c r="G29" s="7">
        <f>IFERROR(SUMIFS(Results!$P$2:$P$609,Results!$C$2:$C$609,A29)/COUNTIFS(Results!$C$2:$C$609,A29,Results!$P$2:$P$609,"&gt;=0"),"")</f>
        <v/>
      </c>
    </row>
    <row r="30">
      <c r="A30" s="2" t="inlineStr">
        <is>
          <t>REAL</t>
        </is>
      </c>
      <c r="B30" s="2">
        <f>COUNTIF(Results!$C$2:$C$609,A30)</f>
        <v/>
      </c>
      <c r="C30" s="2" t="inlineStr"/>
      <c r="D30" s="7">
        <f>IFERROR(SUMIFS(Results!$J$2:$J$609,Results!$C$2:$C$609,A30)/COUNTIFS(Results!$C$2:$C$609,A30,Results!$I$2:$I$609,1),"")</f>
        <v/>
      </c>
      <c r="E30" s="7">
        <f>IFERROR(SUMIFS(Results!$N$2:$N$609,Results!$C$2:$C$609,A30)/COUNTIFS(Results!$C$2:$C$609,A30,Results!$N$2:$N$609,"&gt;=0"),"")</f>
        <v/>
      </c>
      <c r="F30" s="7">
        <f>IFERROR(SUMIFS(Results!$O$2:$O$609,Results!$C$2:$C$609,A30)/COUNTIFS(Results!$C$2:$C$609,A30,Results!$O$2:$O$609,"&gt;=0"),"")</f>
        <v/>
      </c>
      <c r="G30" s="7">
        <f>IFERROR(SUMIFS(Results!$P$2:$P$609,Results!$C$2:$C$609,A30)/COUNTIFS(Results!$C$2:$C$609,A30,Results!$P$2:$P$609,"&gt;=0"),"")</f>
        <v/>
      </c>
    </row>
    <row r="32">
      <c r="A32" s="3" t="inlineStr">
        <is>
          <t>Pair test (both halves right, full mode)</t>
        </is>
      </c>
      <c r="D32" s="3" t="inlineStr">
        <is>
          <t>Pairs both right</t>
        </is>
      </c>
      <c r="E32" s="7">
        <f>IFERROR(SUM(B34:B73)/COUNT(B34:B73),"")</f>
        <v/>
      </c>
    </row>
    <row r="33">
      <c r="A33" s="3" t="inlineStr">
        <is>
          <t>Pair</t>
        </is>
      </c>
      <c r="B33" s="3" t="inlineStr">
        <is>
          <t>Both right</t>
        </is>
      </c>
    </row>
    <row r="34">
      <c r="A34" s="2" t="inlineStr">
        <is>
          <t>p01</t>
        </is>
      </c>
      <c r="B34" s="2">
        <f>IF(OR(Results!N499="",Results!N500=""),"",IF(AND(Results!N499=1,Results!N500=1),1,0))</f>
        <v/>
      </c>
    </row>
    <row r="35">
      <c r="A35" s="2" t="inlineStr">
        <is>
          <t>p02</t>
        </is>
      </c>
      <c r="B35" s="2">
        <f>IF(OR(Results!N521="",Results!N494=""),"",IF(AND(Results!N521=1,Results!N494=1),1,0))</f>
        <v/>
      </c>
    </row>
    <row r="36">
      <c r="A36" s="2" t="inlineStr">
        <is>
          <t>p03</t>
        </is>
      </c>
      <c r="B36" s="2">
        <f>IF(OR(Results!N595="",Results!N573=""),"",IF(AND(Results!N595=1,Results!N573=1),1,0))</f>
        <v/>
      </c>
    </row>
    <row r="37">
      <c r="A37" s="2" t="inlineStr">
        <is>
          <t>p04</t>
        </is>
      </c>
      <c r="B37" s="2">
        <f>IF(OR(Results!N605="",Results!N598=""),"",IF(AND(Results!N605=1,Results!N598=1),1,0))</f>
        <v/>
      </c>
    </row>
    <row r="38">
      <c r="A38" s="2" t="inlineStr">
        <is>
          <t>p05</t>
        </is>
      </c>
      <c r="B38" s="2">
        <f>IF(OR(Results!N591="",Results!N604=""),"",IF(AND(Results!N591=1,Results!N604=1),1,0))</f>
        <v/>
      </c>
    </row>
    <row r="39">
      <c r="A39" s="2" t="inlineStr">
        <is>
          <t>p06</t>
        </is>
      </c>
      <c r="B39" s="2">
        <f>IF(OR(Results!N526="",Results!N594=""),"",IF(AND(Results!N526=1,Results!N594=1),1,0))</f>
        <v/>
      </c>
    </row>
    <row r="40">
      <c r="A40" s="2" t="inlineStr">
        <is>
          <t>p07</t>
        </is>
      </c>
      <c r="B40" s="2">
        <f>IF(OR(Results!N601="",Results!N561=""),"",IF(AND(Results!N601=1,Results!N561=1),1,0))</f>
        <v/>
      </c>
    </row>
    <row r="41">
      <c r="A41" s="2" t="inlineStr">
        <is>
          <t>p08</t>
        </is>
      </c>
      <c r="B41" s="2">
        <f>IF(OR(Results!N507="",Results!N584=""),"",IF(AND(Results!N507=1,Results!N584=1),1,0))</f>
        <v/>
      </c>
    </row>
    <row r="42">
      <c r="A42" s="2" t="inlineStr">
        <is>
          <t>p09</t>
        </is>
      </c>
      <c r="B42" s="2">
        <f>IF(OR(Results!N505="",Results!N571=""),"",IF(AND(Results!N505=1,Results!N571=1),1,0))</f>
        <v/>
      </c>
    </row>
    <row r="43">
      <c r="A43" s="2" t="inlineStr">
        <is>
          <t>p10</t>
        </is>
      </c>
      <c r="B43" s="2">
        <f>IF(OR(Results!N568="",Results!N608=""),"",IF(AND(Results!N568=1,Results!N608=1),1,0))</f>
        <v/>
      </c>
    </row>
    <row r="44">
      <c r="A44" s="2" t="inlineStr">
        <is>
          <t>p11</t>
        </is>
      </c>
      <c r="B44" s="2">
        <f>IF(OR(Results!N551="",Results!N534=""),"",IF(AND(Results!N551=1,Results!N534=1),1,0))</f>
        <v/>
      </c>
    </row>
    <row r="45">
      <c r="A45" s="2" t="inlineStr">
        <is>
          <t>p12</t>
        </is>
      </c>
      <c r="B45" s="2">
        <f>IF(OR(Results!N512="",Results!N562=""),"",IF(AND(Results!N512=1,Results!N562=1),1,0))</f>
        <v/>
      </c>
    </row>
    <row r="46">
      <c r="A46" s="2" t="inlineStr">
        <is>
          <t>p13</t>
        </is>
      </c>
      <c r="B46" s="2">
        <f>IF(OR(Results!N560="",Results!N508=""),"",IF(AND(Results!N560=1,Results!N508=1),1,0))</f>
        <v/>
      </c>
    </row>
    <row r="47">
      <c r="A47" s="2" t="inlineStr">
        <is>
          <t>p14</t>
        </is>
      </c>
      <c r="B47" s="2">
        <f>IF(OR(Results!N555="",Results!N596=""),"",IF(AND(Results!N555=1,Results!N596=1),1,0))</f>
        <v/>
      </c>
    </row>
    <row r="48">
      <c r="A48" s="2" t="inlineStr">
        <is>
          <t>p15</t>
        </is>
      </c>
      <c r="B48" s="2">
        <f>IF(OR(Results!N583="",Results!N550=""),"",IF(AND(Results!N583=1,Results!N550=1),1,0))</f>
        <v/>
      </c>
    </row>
    <row r="49">
      <c r="A49" s="2" t="inlineStr">
        <is>
          <t>p16</t>
        </is>
      </c>
      <c r="B49" s="2">
        <f>IF(OR(Results!N590="",Results!N535=""),"",IF(AND(Results!N590=1,Results!N535=1),1,0))</f>
        <v/>
      </c>
    </row>
    <row r="50">
      <c r="A50" s="2" t="inlineStr">
        <is>
          <t>p17</t>
        </is>
      </c>
      <c r="B50" s="2">
        <f>IF(OR(Results!N528="",Results!N536=""),"",IF(AND(Results!N528=1,Results!N536=1),1,0))</f>
        <v/>
      </c>
    </row>
    <row r="51">
      <c r="A51" s="2" t="inlineStr">
        <is>
          <t>p18</t>
        </is>
      </c>
      <c r="B51" s="2">
        <f>IF(OR(Results!N492="",Results!N519=""),"",IF(AND(Results!N492=1,Results!N519=1),1,0))</f>
        <v/>
      </c>
    </row>
    <row r="52">
      <c r="A52" s="2" t="inlineStr">
        <is>
          <t>p19</t>
        </is>
      </c>
      <c r="B52" s="2">
        <f>IF(OR(Results!N538="",Results!N570=""),"",IF(AND(Results!N538=1,Results!N570=1),1,0))</f>
        <v/>
      </c>
    </row>
    <row r="53">
      <c r="A53" s="2" t="inlineStr">
        <is>
          <t>p20</t>
        </is>
      </c>
      <c r="B53" s="2">
        <f>IF(OR(Results!N531="",Results!N564=""),"",IF(AND(Results!N531=1,Results!N564=1),1,0))</f>
        <v/>
      </c>
    </row>
    <row r="54">
      <c r="A54" s="2" t="inlineStr">
        <is>
          <t>p21</t>
        </is>
      </c>
      <c r="B54" s="2">
        <f>IF(OR(Results!N504="",Results!N609=""),"",IF(AND(Results!N504=1,Results!N609=1),1,0))</f>
        <v/>
      </c>
    </row>
    <row r="55">
      <c r="A55" s="2" t="inlineStr">
        <is>
          <t>p22</t>
        </is>
      </c>
      <c r="B55" s="2">
        <f>IF(OR(Results!N515="",Results!N506=""),"",IF(AND(Results!N515=1,Results!N506=1),1,0))</f>
        <v/>
      </c>
    </row>
    <row r="56">
      <c r="A56" s="2" t="inlineStr">
        <is>
          <t>p23</t>
        </is>
      </c>
      <c r="B56" s="2">
        <f>IF(OR(Results!N542="",Results!N523=""),"",IF(AND(Results!N542=1,Results!N523=1),1,0))</f>
        <v/>
      </c>
    </row>
    <row r="57">
      <c r="A57" s="2" t="inlineStr">
        <is>
          <t>p24</t>
        </is>
      </c>
      <c r="B57" s="2">
        <f>IF(OR(Results!N600="",Results!N559=""),"",IF(AND(Results!N600=1,Results!N559=1),1,0))</f>
        <v/>
      </c>
    </row>
    <row r="58">
      <c r="A58" s="2" t="inlineStr">
        <is>
          <t>p25</t>
        </is>
      </c>
      <c r="B58" s="2">
        <f>IF(OR(Results!N514="",Results!N552=""),"",IF(AND(Results!N514=1,Results!N552=1),1,0))</f>
        <v/>
      </c>
    </row>
    <row r="59">
      <c r="A59" s="2" t="inlineStr">
        <is>
          <t>p26</t>
        </is>
      </c>
      <c r="B59" s="2">
        <f>IF(OR(Results!N607="",Results!N495=""),"",IF(AND(Results!N607=1,Results!N495=1),1,0))</f>
        <v/>
      </c>
    </row>
    <row r="60">
      <c r="A60" s="2" t="inlineStr">
        <is>
          <t>p27</t>
        </is>
      </c>
      <c r="B60" s="2">
        <f>IF(OR(Results!N525="",Results!N592=""),"",IF(AND(Results!N525=1,Results!N592=1),1,0))</f>
        <v/>
      </c>
    </row>
    <row r="61">
      <c r="A61" s="2" t="inlineStr">
        <is>
          <t>p28</t>
        </is>
      </c>
      <c r="B61" s="2">
        <f>IF(OR(Results!N587="",Results!N593=""),"",IF(AND(Results!N587=1,Results!N593=1),1,0))</f>
        <v/>
      </c>
    </row>
    <row r="62">
      <c r="A62" s="2" t="inlineStr">
        <is>
          <t>p29</t>
        </is>
      </c>
      <c r="B62" s="2">
        <f>IF(OR(Results!N537="",Results!N501=""),"",IF(AND(Results!N537=1,Results!N501=1),1,0))</f>
        <v/>
      </c>
    </row>
    <row r="63">
      <c r="A63" s="2" t="inlineStr">
        <is>
          <t>p30</t>
        </is>
      </c>
      <c r="B63" s="2">
        <f>IF(OR(Results!N502="",Results!N522=""),"",IF(AND(Results!N502=1,Results!N522=1),1,0))</f>
        <v/>
      </c>
    </row>
    <row r="64">
      <c r="A64" s="2" t="inlineStr">
        <is>
          <t>p31</t>
        </is>
      </c>
      <c r="B64" s="2">
        <f>IF(OR(Results!N548="",Results!N496=""),"",IF(AND(Results!N548=1,Results!N496=1),1,0))</f>
        <v/>
      </c>
    </row>
    <row r="65">
      <c r="A65" s="2" t="inlineStr">
        <is>
          <t>p32</t>
        </is>
      </c>
      <c r="B65" s="2">
        <f>IF(OR(Results!N541="",Results!N554=""),"",IF(AND(Results!N541=1,Results!N554=1),1,0))</f>
        <v/>
      </c>
    </row>
    <row r="66">
      <c r="A66" s="2" t="inlineStr">
        <is>
          <t>p33</t>
        </is>
      </c>
      <c r="B66" s="2">
        <f>IF(OR(Results!N597="",Results!N527=""),"",IF(AND(Results!N597=1,Results!N527=1),1,0))</f>
        <v/>
      </c>
    </row>
    <row r="67">
      <c r="A67" s="2" t="inlineStr">
        <is>
          <t>p34</t>
        </is>
      </c>
      <c r="B67" s="2">
        <f>IF(OR(Results!N529="",Results!N490=""),"",IF(AND(Results!N529=1,Results!N490=1),1,0))</f>
        <v/>
      </c>
    </row>
    <row r="68">
      <c r="A68" s="2" t="inlineStr">
        <is>
          <t>p35</t>
        </is>
      </c>
      <c r="B68" s="2">
        <f>IF(OR(Results!N602="",Results!N567=""),"",IF(AND(Results!N602=1,Results!N567=1),1,0))</f>
        <v/>
      </c>
    </row>
    <row r="69">
      <c r="A69" s="2" t="inlineStr">
        <is>
          <t>p36</t>
        </is>
      </c>
      <c r="B69" s="2">
        <f>IF(OR(Results!N588="",Results!N572=""),"",IF(AND(Results!N588=1,Results!N572=1),1,0))</f>
        <v/>
      </c>
    </row>
    <row r="70">
      <c r="A70" s="2" t="inlineStr">
        <is>
          <t>p37</t>
        </is>
      </c>
      <c r="B70" s="2">
        <f>IF(OR(Results!N585="",Results!N578=""),"",IF(AND(Results!N585=1,Results!N578=1),1,0))</f>
        <v/>
      </c>
    </row>
    <row r="71">
      <c r="A71" s="2" t="inlineStr">
        <is>
          <t>p38</t>
        </is>
      </c>
      <c r="B71" s="2">
        <f>IF(OR(Results!N599="",Results!N497=""),"",IF(AND(Results!N599=1,Results!N497=1),1,0))</f>
        <v/>
      </c>
    </row>
    <row r="72">
      <c r="A72" s="2" t="inlineStr">
        <is>
          <t>p39</t>
        </is>
      </c>
      <c r="B72" s="2">
        <f>IF(OR(Results!N545="",Results!N510=""),"",IF(AND(Results!N545=1,Results!N510=1),1,0))</f>
        <v/>
      </c>
    </row>
    <row r="73">
      <c r="A73" s="2" t="inlineStr">
        <is>
          <t>p40</t>
        </is>
      </c>
      <c r="B73" s="2">
        <f>IF(OR(Results!N532="",Results!N511=""),"",IF(AND(Results!N532=1,Results!N511=1),1,0))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2026-10-27T02:02:11Z</dcterms:created>
  <dcterms:modified xsi:type="dcterms:W3CDTF">2026-10-27T02:02:11Z</dcterms:modified>
</cp:coreProperties>
</file>