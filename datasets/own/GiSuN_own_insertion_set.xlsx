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C1 Unsourced statistics" sheetId="2" state="visible" r:id="rId2"/>
    <sheet name="C2 Wrong numbers" sheetId="3" state="visible" r:id="rId3"/>
    <sheet name="C3 Loaded language" sheetId="4" state="visible" r:id="rId4"/>
    <sheet name="C4 Overgeneralization" sheetId="5" state="visible" r:id="rId5"/>
    <sheet name="C5 Vague attribution" sheetId="6" state="visible" r:id="rId6"/>
    <sheet name="C6 Causal claims" sheetId="7" state="visible" r:id="rId7"/>
    <sheet name="Full answers"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font>
    <font>
      <name val="Arial"/>
    </font>
    <font>
      <name val="Arial"/>
      <b val="1"/>
      <color rgb="00FFFFFF"/>
    </font>
  </fonts>
  <fills count="3">
    <fill>
      <patternFill/>
    </fill>
    <fill>
      <patternFill patternType="gray125"/>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1" fillId="0" borderId="1" applyAlignment="1" pivotButton="0" quotePrefix="0" xfId="0">
      <alignment vertical="top" wrapText="1"/>
    </xf>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s="1" t="inlineStr">
        <is>
          <t>GiSuN insertion set: our own dataset, 25 items per error type for C1, C2, C3, C5, C6, plus 16 for C4 (141 in total).</t>
        </is>
      </c>
    </row>
    <row r="2">
      <c r="A2" s="2" t="inlineStr">
        <is>
          <t>C4 has no public dataset: its 16 questions are the ones already asked of ChatGPT (answers filled in), and its sentences come from the C4 answers we wrote for the same questions (8 sweeping = met, 8 clean = not_met).</t>
        </is>
      </c>
    </row>
    <row r="3">
      <c r="A3" s="2" t="inlineStr">
        <is>
          <t>Each row: a sentence from a public dataset with its known label, and a question someone might ask ChatGPT whose answer would cover the same topic.</t>
        </is>
      </c>
    </row>
    <row r="4">
      <c r="A4" s="2" t="inlineStr">
        <is>
          <t>Expected = the dataset's own label translated to our met / not_met (13 met + 12 not_met per tab). Sources and mappings: Google Doc 'GiSuN Public Datasets: Download Sources (corrected)'.</t>
        </is>
      </c>
    </row>
    <row r="5">
      <c r="A5" s="2" t="inlineStr">
        <is>
          <t>No sentence appears twice, the two halves of a WNC or C1 pair are never both used, and none of these overlap the test sample in GiSuN_external_datasets.xlsx.</t>
        </is>
      </c>
    </row>
    <row r="6">
      <c r="A6" s="2" t="inlineStr">
        <is>
          <t>Answers: C4 = real ChatGPT answers collected by hand; all others = GPT-6.1-Sol (reasoning low) through codex exec, one fresh session per question, asked to answer in one paragraph of about 4-5 sentences.</t>
        </is>
      </c>
    </row>
    <row r="7">
      <c r="A7" s="2" t="inlineStr">
        <is>
          <t>Each row shows only an excerpt: the relevant sentence and the 2 sentences before it. 'Why this sentence' says how it was picked (the error type's cue word, or the sentence closest in topic to the dataset sentence when the answer has no cue). Full answers are on the last tab.</t>
        </is>
      </c>
    </row>
    <row r="8">
      <c r="A8" s="2" t="inlineStr">
        <is>
          <t>Next: insert the dataset sentence into the answer and run GiSuN on it; Agent decision is filled in then, and Correct? updates by itself. Nothing has been run yet.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7"/>
  <sheetViews>
    <sheetView workbookViewId="0">
      <pane ySplit="2" topLeftCell="A3" activePane="bottomLeft" state="frozen"/>
      <selection pane="bottomLeft" activeCell="A1" sqref="A1"/>
    </sheetView>
  </sheetViews>
  <sheetFormatPr baseColWidth="8" defaultRowHeight="15"/>
  <cols>
    <col width="5" customWidth="1" min="1" max="1"/>
    <col width="8" customWidth="1" min="2" max="2"/>
    <col width="34" customWidth="1" min="3" max="3"/>
    <col width="44" customWidth="1" min="4" max="4"/>
    <col width="50" customWidth="1" min="5" max="5"/>
    <col width="18" customWidth="1" min="6" max="6"/>
    <col width="50" customWidth="1" min="7" max="7"/>
    <col width="22" customWidth="1" min="8" max="8"/>
    <col width="10" customWidth="1" min="9" max="9"/>
    <col width="16" customWidth="1" min="10" max="10"/>
    <col width="16" customWidth="1" min="11" max="11"/>
    <col width="12" customWidth="1" min="12" max="12"/>
    <col width="9" customWidth="1" min="13" max="13"/>
    <col width="24" customWidth="1" min="14" max="14"/>
  </cols>
  <sheetData>
    <row r="1">
      <c r="A1" s="3" t="inlineStr">
        <is>
          <t>C1: Statistic with no specific source nearby?</t>
        </is>
      </c>
      <c r="B1" s="4" t="n"/>
      <c r="C1" s="4" t="n"/>
      <c r="D1" s="4" t="n"/>
      <c r="E1" s="4" t="n"/>
      <c r="F1" s="4" t="n"/>
      <c r="G1" s="4" t="n"/>
      <c r="H1" s="4" t="n"/>
      <c r="I1" s="4" t="n"/>
      <c r="J1" s="4" t="n"/>
      <c r="K1" s="4" t="n"/>
      <c r="L1" s="4" t="n"/>
      <c r="M1" s="4" t="n"/>
      <c r="N1" s="5" t="n"/>
    </row>
    <row r="2">
      <c r="A2" s="6" t="inlineStr">
        <is>
          <t>#</t>
        </is>
      </c>
      <c r="B2" s="6" t="inlineStr">
        <is>
          <t>ID</t>
        </is>
      </c>
      <c r="C2" s="6" t="inlineStr">
        <is>
          <t>Question asked</t>
        </is>
      </c>
      <c r="D2" s="6" t="inlineStr">
        <is>
          <t>Previous 2 sentences</t>
        </is>
      </c>
      <c r="E2" s="6" t="inlineStr">
        <is>
          <t>Relevant sentence (from the answer)</t>
        </is>
      </c>
      <c r="F2" s="6" t="inlineStr">
        <is>
          <t>Why this sentence</t>
        </is>
      </c>
      <c r="G2" s="6" t="inlineStr">
        <is>
          <t>Dataset sentence (to insert)</t>
        </is>
      </c>
      <c r="H2" s="6" t="inlineStr">
        <is>
          <t>Their label</t>
        </is>
      </c>
      <c r="I2" s="6" t="inlineStr">
        <is>
          <t>Expected</t>
        </is>
      </c>
      <c r="J2" s="6" t="inlineStr">
        <is>
          <t>Dataset</t>
        </is>
      </c>
      <c r="K2" s="6" t="inlineStr">
        <is>
          <t>Source / context</t>
        </is>
      </c>
      <c r="L2" s="6" t="inlineStr">
        <is>
          <t>Agent decision</t>
        </is>
      </c>
      <c r="M2" s="6" t="inlineStr">
        <is>
          <t>Correct?</t>
        </is>
      </c>
      <c r="N2" s="6" t="inlineStr">
        <is>
          <t>Notes</t>
        </is>
      </c>
    </row>
    <row r="3">
      <c r="A3" s="7" t="n">
        <v>1</v>
      </c>
      <c r="B3" s="7" t="inlineStr">
        <is>
          <t>C1-01</t>
        </is>
      </c>
      <c r="C3" s="7" t="inlineStr">
        <is>
          <t>What is the Derker area of Oldham like, and why is it being redeveloped?</t>
        </is>
      </c>
      <c r="D3" s="7" t="inlineStr"/>
      <c r="E3" s="7" t="inlineStr">
        <is>
          <t>Derker is a largely residential area northeast of Oldham town centre, with a strong industrial heritage and streets of traditional terraced housing alongside newer homes.</t>
        </is>
      </c>
      <c r="F3" s="7" t="inlineStr">
        <is>
          <t>closest topic</t>
        </is>
      </c>
      <c r="G3" s="7" t="inlineStr">
        <is>
          <t>Bound by Higginshaw to the north, Derker is the location of Derker railway station and, said to have terraced residencies "unsuited to modern needs", is currently being redeveloped as part of the Housing Market Renewal Initiative.</t>
        </is>
      </c>
      <c r="H3" s="7" t="inlineStr">
        <is>
          <t>statistic, citation removed</t>
        </is>
      </c>
      <c r="I3" s="7" t="inlineStr">
        <is>
          <t>met</t>
        </is>
      </c>
      <c r="J3" s="7" t="inlineStr">
        <is>
          <t>Citation Reason</t>
        </is>
      </c>
      <c r="K3" s="7" t="inlineStr">
        <is>
          <t>Wikipedia: Oldham</t>
        </is>
      </c>
      <c r="L3" s="7" t="n"/>
      <c r="M3" s="7">
        <f>IF(L3="","",IF((L3="met")=(I3="met"),1,0))</f>
        <v/>
      </c>
      <c r="N3" s="7" t="n"/>
    </row>
    <row r="4">
      <c r="A4" s="7" t="n">
        <v>2</v>
      </c>
      <c r="B4" s="7" t="inlineStr">
        <is>
          <t>C1-02</t>
        </is>
      </c>
      <c r="C4" s="7" t="inlineStr">
        <is>
          <t>Which airline operates the most Boeing 777s, and has any airline flown every 777 variant?</t>
        </is>
      </c>
      <c r="D4" s="7" t="inlineStr">
        <is>
          <t>Emirates operates the world’s largest Boeing 777 fleet, with well over 100 aircraft.</t>
        </is>
      </c>
      <c r="E4" s="7" t="inlineStr">
        <is>
          <t>It has also flown all six original production variants: the 777-200, 777-200ER, 777-200LR, 777-300, 777-300ER, and 777 Freighter.</t>
        </is>
      </c>
      <c r="F4" s="7" t="inlineStr">
        <is>
          <t>number, no source in it</t>
        </is>
      </c>
      <c r="G4" s="7" t="inlineStr">
        <is>
          <t>Emirates is the largest airline operator as of July 2017, and is the only customer to have operated all 777 variants produced, including the -200, -200ER, -200LR, -300, -300ER, and 777F.</t>
        </is>
      </c>
      <c r="H4" s="7" t="inlineStr">
        <is>
          <t>statistic, citation removed</t>
        </is>
      </c>
      <c r="I4" s="7" t="inlineStr">
        <is>
          <t>met</t>
        </is>
      </c>
      <c r="J4" s="7" t="inlineStr">
        <is>
          <t>Citation Reason</t>
        </is>
      </c>
      <c r="K4" s="7" t="inlineStr">
        <is>
          <t>Wikipedia: Boeing_777</t>
        </is>
      </c>
      <c r="L4" s="7" t="n"/>
      <c r="M4" s="7">
        <f>IF(L4="","",IF((L4="met")=(I4="met"),1,0))</f>
        <v/>
      </c>
      <c r="N4" s="7" t="n"/>
    </row>
    <row r="5">
      <c r="A5" s="7" t="n">
        <v>3</v>
      </c>
      <c r="B5" s="7" t="inlineStr">
        <is>
          <t>C1-03</t>
        </is>
      </c>
      <c r="C5" s="7" t="inlineStr">
        <is>
          <t>What is the scoreboard like at First Tennessee Park in Nashville?</t>
        </is>
      </c>
      <c r="D5" s="7" t="inlineStr">
        <is>
          <t>The scoreboard at First Tennessee Park in Nashville is a giant guitar, a fitting tribute to Music City.</t>
        </is>
      </c>
      <c r="E5" s="7" t="inlineStr">
        <is>
          <t>It stands beyond the right-center-field wall, with a large video screen built into the guitar’s body and scoreboard displays running along its neck.</t>
        </is>
      </c>
      <c r="F5" s="7" t="inlineStr">
        <is>
          <t>closest topic</t>
        </is>
      </c>
      <c r="G5" s="7" t="inlineStr">
        <is>
          <t>The scoreboard, which has a 4,200 square foot (390 m2) high definition LED screen, is located in the middle of the concourse; visitors entering or leaving the park through the stadium's right-field entrance on Fifth Avenue pass under it.</t>
        </is>
      </c>
      <c r="H5" s="7" t="inlineStr">
        <is>
          <t>statistic, citation removed</t>
        </is>
      </c>
      <c r="I5" s="7" t="inlineStr">
        <is>
          <t>met</t>
        </is>
      </c>
      <c r="J5" s="7" t="inlineStr">
        <is>
          <t>Citation Reason</t>
        </is>
      </c>
      <c r="K5" s="7" t="inlineStr">
        <is>
          <t>Wikipedia: First_Tennessee_Park</t>
        </is>
      </c>
      <c r="L5" s="7" t="n"/>
      <c r="M5" s="7">
        <f>IF(L5="","",IF((L5="met")=(I5="met"),1,0))</f>
        <v/>
      </c>
      <c r="N5" s="7" t="n"/>
    </row>
    <row r="6">
      <c r="A6" s="7" t="n">
        <v>4</v>
      </c>
      <c r="B6" s="7" t="inlineStr">
        <is>
          <t>C1-04</t>
        </is>
      </c>
      <c r="C6" s="7" t="inlineStr">
        <is>
          <t>How did Norwich City F.C. do in the 1930s?</t>
        </is>
      </c>
      <c r="D6" s="7" t="inlineStr"/>
      <c r="E6" s="7" t="inlineStr">
        <is>
          <t>Norwich City spent the early 1930s in the Third Division South before winning the title in the 1933–34 season, earning promotion to the Second Division for the first time.</t>
        </is>
      </c>
      <c r="F6" s="7" t="inlineStr">
        <is>
          <t>number, no source in it</t>
        </is>
      </c>
      <c r="G6" s="7" t="inlineStr">
        <is>
          <t>The rest of the decade proved more successful for Norwich, with a club-record victory, 10–2, over Coventry City and promotion to the Second Division as champions in the 1933–34 season under the management of Tom Parker.</t>
        </is>
      </c>
      <c r="H6" s="7" t="inlineStr">
        <is>
          <t>statistic, citation removed</t>
        </is>
      </c>
      <c r="I6" s="7" t="inlineStr">
        <is>
          <t>met</t>
        </is>
      </c>
      <c r="J6" s="7" t="inlineStr">
        <is>
          <t>Citation Reason</t>
        </is>
      </c>
      <c r="K6" s="7" t="inlineStr">
        <is>
          <t>Wikipedia: History_of_Norwich_City_F.C.</t>
        </is>
      </c>
      <c r="L6" s="7" t="n"/>
      <c r="M6" s="7">
        <f>IF(L6="","",IF((L6="met")=(I6="met"),1,0))</f>
        <v/>
      </c>
      <c r="N6" s="7" t="n"/>
    </row>
    <row r="7">
      <c r="A7" s="7" t="n">
        <v>5</v>
      </c>
      <c r="B7" s="7" t="inlineStr">
        <is>
          <t>C1-05</t>
        </is>
      </c>
      <c r="C7" s="7" t="inlineStr">
        <is>
          <t>Would double summer time in the UK reduce road deaths?</t>
        </is>
      </c>
      <c r="D7" s="7" t="inlineStr"/>
      <c r="E7" s="7" t="inlineStr">
        <is>
          <t>Double summer time—putting UK clocks one hour ahead of their current settings throughout the year—would probably reduce road deaths overall by shifting daylight into the busier afternoon and evening travel periods.</t>
        </is>
      </c>
      <c r="F7" s="7" t="inlineStr">
        <is>
          <t>closest topic</t>
        </is>
      </c>
      <c r="G7" s="7" t="inlineStr">
        <is>
          <t>Single/Double Summer Time (SDST), a variant where clocks are one hour ahead of the sun in winter and two in summer, has been projected to reduce traffic fatalities by 3% to 4% in the UK, compared to ordinary DST.</t>
        </is>
      </c>
      <c r="H7" s="7" t="inlineStr">
        <is>
          <t>statistic, citation removed</t>
        </is>
      </c>
      <c r="I7" s="7" t="inlineStr">
        <is>
          <t>met</t>
        </is>
      </c>
      <c r="J7" s="7" t="inlineStr">
        <is>
          <t>Citation Reason</t>
        </is>
      </c>
      <c r="K7" s="7" t="inlineStr">
        <is>
          <t>Wikipedia: Daylight_saving_time</t>
        </is>
      </c>
      <c r="L7" s="7" t="n"/>
      <c r="M7" s="7">
        <f>IF(L7="","",IF((L7="met")=(I7="met"),1,0))</f>
        <v/>
      </c>
      <c r="N7" s="7" t="n"/>
    </row>
    <row r="8">
      <c r="A8" s="7" t="n">
        <v>6</v>
      </c>
      <c r="B8" s="7" t="inlineStr">
        <is>
          <t>C1-06</t>
        </is>
      </c>
      <c r="C8" s="7" t="inlineStr">
        <is>
          <t>Why did Turok: Dinosaur Hunter for the Nintendo 64 face sales problems at launch?</t>
        </is>
      </c>
      <c r="D8" s="7" t="inlineStr">
        <is>
          <t>*Turok: Dinosaur Hunter* faced concerns about its launch sales mainly because of its high price and mature content.</t>
        </is>
      </c>
      <c r="E8" s="7" t="inlineStr">
        <is>
          <t>It cost about $79.99 in the United States and £70 in the United Kingdom, making it an expensive purchase.</t>
        </is>
      </c>
      <c r="F8" s="7" t="inlineStr">
        <is>
          <t>number, no source in it</t>
        </is>
      </c>
      <c r="G8" s="7" t="inlineStr">
        <is>
          <t>Endangering Turok's sales was its high price—$79.99 in the US, £70 in the UK, and $129.95 in Australia —and Entertainment Software Rating Board's "mature" rating, which suggested lower sales as parents would not buy the game for their children.</t>
        </is>
      </c>
      <c r="H8" s="7" t="inlineStr">
        <is>
          <t>statistic, citation removed</t>
        </is>
      </c>
      <c r="I8" s="7" t="inlineStr">
        <is>
          <t>met</t>
        </is>
      </c>
      <c r="J8" s="7" t="inlineStr">
        <is>
          <t>Citation Reason</t>
        </is>
      </c>
      <c r="K8" s="7" t="inlineStr">
        <is>
          <t>Wikipedia: Turok:_Dinosaur_Hunter</t>
        </is>
      </c>
      <c r="L8" s="7" t="n"/>
      <c r="M8" s="7">
        <f>IF(L8="","",IF((L8="met")=(I8="met"),1,0))</f>
        <v/>
      </c>
      <c r="N8" s="7" t="n"/>
    </row>
    <row r="9">
      <c r="A9" s="7" t="n">
        <v>7</v>
      </c>
      <c r="B9" s="7" t="inlineStr">
        <is>
          <t>C1-07</t>
        </is>
      </c>
      <c r="C9" s="7" t="inlineStr">
        <is>
          <t>How was Nelson's Pillar in Dublin paid for, and what did it cost to build?</t>
        </is>
      </c>
      <c r="D9" s="7" t="inlineStr"/>
      <c r="E9" s="7" t="inlineStr">
        <is>
          <t>Nelson’s Pillar in Dublin was paid for by public subscription, with voluntary donations collected after Admiral Horatio Nelson’s death at the Battle of Trafalgar in 1805.</t>
        </is>
      </c>
      <c r="F9" s="7" t="inlineStr">
        <is>
          <t>number, no source in it</t>
        </is>
      </c>
      <c r="G9" s="7" t="inlineStr">
        <is>
          <t>The committee continued to raise money as construction proceeded; when the project was complete in the autumn of 1809, costs totalled £6,856, but contributions had reached £7,138, providing the committee with a surplus of £282.</t>
        </is>
      </c>
      <c r="H9" s="7" t="inlineStr">
        <is>
          <t>statistic, citation removed</t>
        </is>
      </c>
      <c r="I9" s="7" t="inlineStr">
        <is>
          <t>met</t>
        </is>
      </c>
      <c r="J9" s="7" t="inlineStr">
        <is>
          <t>Citation Reason</t>
        </is>
      </c>
      <c r="K9" s="7" t="inlineStr">
        <is>
          <t>Wikipedia: Nelson's_Pillar</t>
        </is>
      </c>
      <c r="L9" s="7" t="n"/>
      <c r="M9" s="7">
        <f>IF(L9="","",IF((L9="met")=(I9="met"),1,0))</f>
        <v/>
      </c>
      <c r="N9" s="7" t="n"/>
    </row>
    <row r="10">
      <c r="A10" s="7" t="n">
        <v>8</v>
      </c>
      <c r="B10" s="7" t="inlineStr">
        <is>
          <t>C1-08</t>
        </is>
      </c>
      <c r="C10" s="7" t="inlineStr">
        <is>
          <t>How popular is hare coursing in Ireland, and what is the main event?</t>
        </is>
      </c>
      <c r="D10" s="7" t="inlineStr">
        <is>
          <t>Hare coursing has a long tradition in Ireland and a dedicated following, particularly in rural communities, though it remains a niche and controversial sport. / Events involve pairs of greyhounds chasing a live hare, with the dogs judged on their ability to turn it.</t>
        </is>
      </c>
      <c r="E10" s="7" t="inlineStr">
        <is>
          <t>The main event is the National Coursing Meeting, held annually at Powerstown Park in Clonmel, County Tipperary, usually around late January or early February.</t>
        </is>
      </c>
      <c r="F10" s="7" t="inlineStr">
        <is>
          <t>closest topic</t>
        </is>
      </c>
      <c r="G10" s="7" t="inlineStr">
        <is>
          <t>Hare coursing is popular in the Republic of Ireland, with the national meeting in Clonmel, County Tipperary, being the most important event in the coursing calendar, attracting 10,000 spectators, and claimed by its organisers to be worth up to €16 million for the local economy.</t>
        </is>
      </c>
      <c r="H10" s="7" t="inlineStr">
        <is>
          <t>statistic, citation removed</t>
        </is>
      </c>
      <c r="I10" s="7" t="inlineStr">
        <is>
          <t>met</t>
        </is>
      </c>
      <c r="J10" s="7" t="inlineStr">
        <is>
          <t>Citation Reason</t>
        </is>
      </c>
      <c r="K10" s="7" t="inlineStr">
        <is>
          <t>Wikipedia: Hare_coursing</t>
        </is>
      </c>
      <c r="L10" s="7" t="n"/>
      <c r="M10" s="7">
        <f>IF(L10="","",IF((L10="met")=(I10="met"),1,0))</f>
        <v/>
      </c>
      <c r="N10" s="7" t="n"/>
    </row>
    <row r="11">
      <c r="A11" s="7" t="n">
        <v>9</v>
      </c>
      <c r="B11" s="7" t="inlineStr">
        <is>
          <t>C1-09</t>
        </is>
      </c>
      <c r="C11" s="7" t="inlineStr">
        <is>
          <t>Why is the yellow-billed nuthatch endangered on Hainan?</t>
        </is>
      </c>
      <c r="D11" s="7" t="inlineStr"/>
      <c r="E11" s="7" t="inlineStr">
        <is>
          <t>The nuthatch endangered on Hainan is usually called the Hainan nuthatch, rather than the yellow-billed nuthatch.</t>
        </is>
      </c>
      <c r="F11" s="7" t="inlineStr">
        <is>
          <t>closest topic</t>
        </is>
      </c>
      <c r="G11" s="7" t="inlineStr">
        <is>
          <t>The threat to yellow-billed is particularly acute on Hainan, where more than 70% of the woodland has been lost in the past 50 years due to shifting cultivation and the use of wood for fuel during Chinese government re-settlement programmes.</t>
        </is>
      </c>
      <c r="H11" s="7" t="inlineStr">
        <is>
          <t>statistic, citation removed</t>
        </is>
      </c>
      <c r="I11" s="7" t="inlineStr">
        <is>
          <t>met</t>
        </is>
      </c>
      <c r="J11" s="7" t="inlineStr">
        <is>
          <t>Citation Reason</t>
        </is>
      </c>
      <c r="K11" s="7" t="inlineStr">
        <is>
          <t>Wikipedia: Nuthatch</t>
        </is>
      </c>
      <c r="L11" s="7" t="n"/>
      <c r="M11" s="7">
        <f>IF(L11="","",IF((L11="met")=(I11="met"),1,0))</f>
        <v/>
      </c>
      <c r="N11" s="7" t="n"/>
    </row>
    <row r="12">
      <c r="A12" s="7" t="n">
        <v>10</v>
      </c>
      <c r="B12" s="7" t="inlineStr">
        <is>
          <t>C1-10</t>
        </is>
      </c>
      <c r="C12" s="7" t="inlineStr">
        <is>
          <t>What did Australian swimmer Faith Leech achieve before the 1956 Olympics?</t>
        </is>
      </c>
      <c r="D12" s="7" t="inlineStr"/>
      <c r="E12" s="7" t="inlineStr">
        <is>
          <t>Before the 1956 Melbourne Olympics, Faith Leech had become one of Australia’s leading freestyle swimmers.</t>
        </is>
      </c>
      <c r="F12" s="7" t="inlineStr">
        <is>
          <t>number, no source in it</t>
        </is>
      </c>
      <c r="G12" s="7" t="inlineStr">
        <is>
          <t>The regular sessions paid off at the 1955 Victorian Championships; Leech won the open 110- and 220-yard freestyle in times of 1 minute 7.2 seconds and 2 minutes 39.3 seconds, respectively, setting state records in both events.</t>
        </is>
      </c>
      <c r="H12" s="7" t="inlineStr">
        <is>
          <t>statistic, citation removed</t>
        </is>
      </c>
      <c r="I12" s="7" t="inlineStr">
        <is>
          <t>met</t>
        </is>
      </c>
      <c r="J12" s="7" t="inlineStr">
        <is>
          <t>Citation Reason</t>
        </is>
      </c>
      <c r="K12" s="7" t="inlineStr">
        <is>
          <t>Wikipedia: Faith_Leech</t>
        </is>
      </c>
      <c r="L12" s="7" t="n"/>
      <c r="M12" s="7">
        <f>IF(L12="","",IF((L12="met")=(I12="met"),1,0))</f>
        <v/>
      </c>
      <c r="N12" s="7" t="n"/>
    </row>
    <row r="13">
      <c r="A13" s="7" t="n">
        <v>11</v>
      </c>
      <c r="B13" s="7" t="inlineStr">
        <is>
          <t>C1-11</t>
        </is>
      </c>
      <c r="C13" s="7" t="inlineStr">
        <is>
          <t>How did WWE's December to Dismember 2006 do in attendance and pay-per-view buys?</t>
        </is>
      </c>
      <c r="D13" s="7" t="inlineStr">
        <is>
          <t>WWE’s December to Dismember 2006 drew approximately 4,800 fans to the James Brown Arena in Augusta, Georgia, on December 3, 2006.</t>
        </is>
      </c>
      <c r="E13" s="7" t="inlineStr">
        <is>
          <t>The ECW-branded event generated about 90,000 worldwide pay-per-view buys.</t>
        </is>
      </c>
      <c r="F13" s="7" t="inlineStr">
        <is>
          <t>number, no source in it</t>
        </is>
      </c>
      <c r="G13" s="7" t="inlineStr">
        <is>
          <t>The event had an attendance of 4,800 and received about 90,000 pay-per-view buys, with 55,000 of them domestic buys—the lowest buyrate in WWE history until the introduction of the WWE Network in 2014.</t>
        </is>
      </c>
      <c r="H13" s="7" t="inlineStr">
        <is>
          <t>statistic, citation removed</t>
        </is>
      </c>
      <c r="I13" s="7" t="inlineStr">
        <is>
          <t>met</t>
        </is>
      </c>
      <c r="J13" s="7" t="inlineStr">
        <is>
          <t>Citation Reason</t>
        </is>
      </c>
      <c r="K13" s="7" t="inlineStr">
        <is>
          <t>Wikipedia: December_to_Dismember_(2006)</t>
        </is>
      </c>
      <c r="L13" s="7" t="n"/>
      <c r="M13" s="7">
        <f>IF(L13="","",IF((L13="met")=(I13="met"),1,0))</f>
        <v/>
      </c>
      <c r="N13" s="7" t="n"/>
    </row>
    <row r="14">
      <c r="A14" s="7" t="n">
        <v>12</v>
      </c>
      <c r="B14" s="7" t="inlineStr">
        <is>
          <t>C1-12</t>
        </is>
      </c>
      <c r="C14" s="7" t="inlineStr">
        <is>
          <t>How was the extension of California State Route 52 to SR 67 funded?</t>
        </is>
      </c>
      <c r="D14" s="7" t="inlineStr"/>
      <c r="E14" s="7" t="inlineStr">
        <is>
          <t>The extension of California State Route 52 east from SR 125 to SR 67 was funded through a combination of state, federal, and local money.</t>
        </is>
      </c>
      <c r="F14" s="7" t="inlineStr">
        <is>
          <t>number, no source in it</t>
        </is>
      </c>
      <c r="G14" s="7" t="inlineStr">
        <is>
          <t>In 2001, SANDAG gave $138 million (about $184 million in 2016 dollars) to the expansion of SR 52 to SR 67, which was necessary for extending the freeway past Cuyamaca Street.</t>
        </is>
      </c>
      <c r="H14" s="7" t="inlineStr">
        <is>
          <t>statistic, citation removed</t>
        </is>
      </c>
      <c r="I14" s="7" t="inlineStr">
        <is>
          <t>met</t>
        </is>
      </c>
      <c r="J14" s="7" t="inlineStr">
        <is>
          <t>Citation Reason</t>
        </is>
      </c>
      <c r="K14" s="7" t="inlineStr">
        <is>
          <t>Wikipedia: California_State_Route_52</t>
        </is>
      </c>
      <c r="L14" s="7" t="n"/>
      <c r="M14" s="7">
        <f>IF(L14="","",IF((L14="met")=(I14="met"),1,0))</f>
        <v/>
      </c>
      <c r="N14" s="7" t="n"/>
    </row>
    <row r="15">
      <c r="A15" s="7" t="n">
        <v>13</v>
      </c>
      <c r="B15" s="7" t="inlineStr">
        <is>
          <t>C1-13</t>
        </is>
      </c>
      <c r="C15" s="7" t="inlineStr">
        <is>
          <t>Did Yao Ming ever break Michael Jordan's All-Star voting record?</t>
        </is>
      </c>
      <c r="D15" s="7" t="inlineStr"/>
      <c r="E15" s="7" t="inlineStr">
        <is>
          <t>In 2005, Yao Ming received 2,558,278 NBA All-Star fan votes, breaking Michael Jordan’s record of 2,451,136 votes set in 1997.</t>
        </is>
      </c>
      <c r="F15" s="7" t="inlineStr">
        <is>
          <t>number, no source in it</t>
        </is>
      </c>
      <c r="G15" s="7" t="inlineStr">
        <is>
          <t>Both McGrady and Yao were voted to start in the 2005 NBA All-Star Game, and Yao broke the record previously held by Michael Jordan for most All-Star votes, with 2,558,278 total votes.</t>
        </is>
      </c>
      <c r="H15" s="7" t="inlineStr">
        <is>
          <t>statistic, citation removed</t>
        </is>
      </c>
      <c r="I15" s="7" t="inlineStr">
        <is>
          <t>met</t>
        </is>
      </c>
      <c r="J15" s="7" t="inlineStr">
        <is>
          <t>Citation Reason</t>
        </is>
      </c>
      <c r="K15" s="7" t="inlineStr">
        <is>
          <t>Wikipedia: Yao_Ming</t>
        </is>
      </c>
      <c r="L15" s="7" t="n"/>
      <c r="M15" s="7">
        <f>IF(L15="","",IF((L15="met")=(I15="met"),1,0))</f>
        <v/>
      </c>
      <c r="N15" s="7" t="n"/>
    </row>
    <row r="16">
      <c r="A16" s="7" t="n">
        <v>14</v>
      </c>
      <c r="B16" s="7" t="inlineStr">
        <is>
          <t>C1-14</t>
        </is>
      </c>
      <c r="C16" s="7" t="inlineStr">
        <is>
          <t>Which department of the European Commission has the most staff, and which nationality is most common among Commission staff?</t>
        </is>
      </c>
      <c r="D16" s="7" t="inlineStr"/>
      <c r="E16" s="7" t="inlineStr">
        <is>
          <t>The European Commission’s Joint Research Centre (JRC) is its largest department by staff, with 2,641 employees in the European Parliament’s 2025 overview.</t>
        </is>
      </c>
      <c r="F16" s="7" t="inlineStr">
        <is>
          <t>number, no source in it</t>
        </is>
      </c>
      <c r="G16" s="7" t="inlineStr">
        <is>
          <t>The single largest DG is the Directorate-General for Translation, with a 2309-strong staff, while the largest group by nationality is Belgian (18.7%), probably due to a majority (17,664) of staff being based in the country (Source: Civil Service: Staff figures).</t>
        </is>
      </c>
      <c r="H16" s="7" t="inlineStr">
        <is>
          <t>statistic, citation written in</t>
        </is>
      </c>
      <c r="I16" s="7" t="inlineStr">
        <is>
          <t>not_met</t>
        </is>
      </c>
      <c r="J16" s="7" t="inlineStr">
        <is>
          <t>Citation Reason</t>
        </is>
      </c>
      <c r="K16" s="7" t="inlineStr">
        <is>
          <t>Wikipedia: European_Commission</t>
        </is>
      </c>
      <c r="L16" s="7" t="n"/>
      <c r="M16" s="7">
        <f>IF(L16="","",IF((L16="met")=(I16="met"),1,0))</f>
        <v/>
      </c>
      <c r="N16" s="7" t="n"/>
    </row>
    <row r="17">
      <c r="A17" s="7" t="n">
        <v>15</v>
      </c>
      <c r="B17" s="7" t="inlineStr">
        <is>
          <t>C1-15</t>
        </is>
      </c>
      <c r="C17" s="7" t="inlineStr">
        <is>
          <t>How do critics rate the 1986 film Manhunter today?</t>
        </is>
      </c>
      <c r="D17" s="7" t="inlineStr"/>
      <c r="E17" s="7" t="inlineStr">
        <is>
          <t>Critics today generally regard Michael Mann’s *Manhunter* (1986) as a stylish, influential psychological thriller.</t>
        </is>
      </c>
      <c r="F17" s="7" t="inlineStr">
        <is>
          <t>number, no source in it</t>
        </is>
      </c>
      <c r="G17" s="7" t="inlineStr">
        <is>
          <t>Compiled mostly from reviews written decades after its original release, Manhunter has a metascore of 78 on Metacritic, based on ten reviews, and a 94% fresh rating on Rotten Tomatoes, from 33 reviews (Source: Manhunter).</t>
        </is>
      </c>
      <c r="H17" s="7" t="inlineStr">
        <is>
          <t>statistic, citation written in</t>
        </is>
      </c>
      <c r="I17" s="7" t="inlineStr">
        <is>
          <t>not_met</t>
        </is>
      </c>
      <c r="J17" s="7" t="inlineStr">
        <is>
          <t>Citation Reason</t>
        </is>
      </c>
      <c r="K17" s="7" t="inlineStr">
        <is>
          <t>Wikipedia: Manhunter_(film)</t>
        </is>
      </c>
      <c r="L17" s="7" t="n"/>
      <c r="M17" s="7">
        <f>IF(L17="","",IF((L17="met")=(I17="met"),1,0))</f>
        <v/>
      </c>
      <c r="N17" s="7" t="n"/>
    </row>
    <row r="18">
      <c r="A18" s="7" t="n">
        <v>16</v>
      </c>
      <c r="B18" s="7" t="inlineStr">
        <is>
          <t>C1-16</t>
        </is>
      </c>
      <c r="C18" s="7" t="inlineStr">
        <is>
          <t>How did Orel Hershiser's ERA change during his 59-inning scoreless streak in 1988?</t>
        </is>
      </c>
      <c r="D18" s="7" t="inlineStr"/>
      <c r="E18" s="7" t="inlineStr">
        <is>
          <t>Orel Hershiser’s ERA fell from 2.90 to 2.26 during his record-setting 59-inning scoreless streak in 1988.</t>
        </is>
      </c>
      <c r="F18" s="7" t="inlineStr">
        <is>
          <t>number, no source in it</t>
        </is>
      </c>
      <c r="G18" s="7" t="inlineStr">
        <is>
          <t>During the streak, although forty-one of the 59 scoreless innings came on the road away from traditionally pitcher-friendly Dodger Stadium, Hershiser lowered his ERA from 2.90 to 2.26 (Source: Ranking The Ballparks: The best hitters' and pitchers' parks based on five years of data).</t>
        </is>
      </c>
      <c r="H18" s="7" t="inlineStr">
        <is>
          <t>statistic, citation written in</t>
        </is>
      </c>
      <c r="I18" s="7" t="inlineStr">
        <is>
          <t>not_met</t>
        </is>
      </c>
      <c r="J18" s="7" t="inlineStr">
        <is>
          <t>Citation Reason</t>
        </is>
      </c>
      <c r="K18" s="7" t="inlineStr">
        <is>
          <t>Wikipedia: Orel_Hershiser's_scoreless_innings_streak</t>
        </is>
      </c>
      <c r="L18" s="7" t="n"/>
      <c r="M18" s="7">
        <f>IF(L18="","",IF((L18="met")=(I18="met"),1,0))</f>
        <v/>
      </c>
      <c r="N18" s="7" t="n"/>
    </row>
    <row r="19">
      <c r="A19" s="7" t="n">
        <v>17</v>
      </c>
      <c r="B19" s="7" t="inlineStr">
        <is>
          <t>C1-17</t>
        </is>
      </c>
      <c r="C19" s="7" t="inlineStr">
        <is>
          <t>How big was the old Palace of Westminster before the 1834 fire?</t>
        </is>
      </c>
      <c r="D19" s="7" t="inlineStr">
        <is>
          <t>The old Palace of Westminster was a sprawling complex of halls, chapels, chambers, courtyards, and houses, rather than one unified building.</t>
        </is>
      </c>
      <c r="E19" s="7" t="inlineStr">
        <is>
          <t>Before the 1834 fire, it covered several acres beside the Thames, having grown and changed over many centuries.</t>
        </is>
      </c>
      <c r="F19" s="7" t="inlineStr">
        <is>
          <t>number, no source in it</t>
        </is>
      </c>
      <c r="G19" s="7" t="inlineStr">
        <is>
          <t>Laid out around 11 courtyards, the building included several residences with accommodation for about 200 people, and comprised a total of 1,180 rooms, 126 staircases and 2 miles (3.2 km) of corridors (Source: Jones 1983).</t>
        </is>
      </c>
      <c r="H19" s="7" t="inlineStr">
        <is>
          <t>statistic, citation written in</t>
        </is>
      </c>
      <c r="I19" s="7" t="inlineStr">
        <is>
          <t>not_met</t>
        </is>
      </c>
      <c r="J19" s="7" t="inlineStr">
        <is>
          <t>Citation Reason</t>
        </is>
      </c>
      <c r="K19" s="7" t="inlineStr">
        <is>
          <t>Wikipedia: Burning_of_Parliament</t>
        </is>
      </c>
      <c r="L19" s="7" t="n"/>
      <c r="M19" s="7">
        <f>IF(L19="","",IF((L19="met")=(I19="met"),1,0))</f>
        <v/>
      </c>
      <c r="N19" s="7" t="n"/>
    </row>
    <row r="20">
      <c r="A20" s="7" t="n">
        <v>18</v>
      </c>
      <c r="B20" s="7" t="inlineStr">
        <is>
          <t>C1-18</t>
        </is>
      </c>
      <c r="C20" s="7" t="inlineStr">
        <is>
          <t>What is the stretch of the Rogue River in Oregon before Grave Creek like for boating?</t>
        </is>
      </c>
      <c r="D20" s="7" t="inlineStr">
        <is>
          <t>The Rogue River upstream of Grave Creek offers scenic boating through forested hills and rocky canyons, with a mix of calm pools, riffles, and whitewater.</t>
        </is>
      </c>
      <c r="E20" s="7" t="inlineStr">
        <is>
          <t>Popular rafting stretches generally feature Class I–II water with some Class III rapids, depending on where you launch and take out.</t>
        </is>
      </c>
      <c r="F20" s="7" t="inlineStr">
        <is>
          <t>closest topic</t>
        </is>
      </c>
      <c r="G20" s="7" t="inlineStr">
        <is>
          <t>This stretch of the Rogue, featuring class I and II rapids, 11 access points for boats, 4 parks and campgrounds managed by Josephine County, ends at Grave Creek, where the Wild Rogue Wilderness begins (Source: Hellgate Recreation Area).</t>
        </is>
      </c>
      <c r="H20" s="7" t="inlineStr">
        <is>
          <t>statistic, citation written in</t>
        </is>
      </c>
      <c r="I20" s="7" t="inlineStr">
        <is>
          <t>not_met</t>
        </is>
      </c>
      <c r="J20" s="7" t="inlineStr">
        <is>
          <t>Citation Reason</t>
        </is>
      </c>
      <c r="K20" s="7" t="inlineStr">
        <is>
          <t>Wikipedia: Rogue_River_(Oregon)</t>
        </is>
      </c>
      <c r="L20" s="7" t="n"/>
      <c r="M20" s="7">
        <f>IF(L20="","",IF((L20="met")=(I20="met"),1,0))</f>
        <v/>
      </c>
      <c r="N20" s="7" t="n"/>
    </row>
    <row r="21">
      <c r="A21" s="7" t="n">
        <v>19</v>
      </c>
      <c r="B21" s="7" t="inlineStr">
        <is>
          <t>C1-19</t>
        </is>
      </c>
      <c r="C21" s="7" t="inlineStr">
        <is>
          <t>Was Nirvana's Nevermind expected to be a hit when it was released?</t>
        </is>
      </c>
      <c r="D21" s="7" t="inlineStr">
        <is>
          <t>Nirvana’s *Nevermind* was expected to do reasonably well when it was released in September 1991, but few anticipated it becoming a blockbuster.</t>
        </is>
      </c>
      <c r="E21" s="7" t="inlineStr">
        <is>
          <t>Their label, DGC, hoped it might match the success of Sonic Youth’s *Goo*, which had sold around 250,000 copies.</t>
        </is>
      </c>
      <c r="F21" s="7" t="inlineStr">
        <is>
          <t>number, no source in it</t>
        </is>
      </c>
      <c r="G21" s="7" t="inlineStr">
        <is>
          <t>Despite modest sales estimates—the band's record company, DGC Records, forecast sales of 50,000 copies —Nevermind became a huge commercial success, popularizing the Seattle grunge movement and alternative rock in general (Source: Cross).</t>
        </is>
      </c>
      <c r="H21" s="7" t="inlineStr">
        <is>
          <t>statistic, citation written in</t>
        </is>
      </c>
      <c r="I21" s="7" t="inlineStr">
        <is>
          <t>not_met</t>
        </is>
      </c>
      <c r="J21" s="7" t="inlineStr">
        <is>
          <t>Citation Reason</t>
        </is>
      </c>
      <c r="K21" s="7" t="inlineStr">
        <is>
          <t>Wikipedia: In_Utero_(album)</t>
        </is>
      </c>
      <c r="L21" s="7" t="n"/>
      <c r="M21" s="7">
        <f>IF(L21="","",IF((L21="met")=(I21="met"),1,0))</f>
        <v/>
      </c>
      <c r="N21" s="7" t="n"/>
    </row>
    <row r="22">
      <c r="A22" s="7" t="n">
        <v>20</v>
      </c>
      <c r="B22" s="7" t="inlineStr">
        <is>
          <t>C1-20</t>
        </is>
      </c>
      <c r="C22" s="7" t="inlineStr">
        <is>
          <t>What reptiles live in Saguaro National Park?</t>
        </is>
      </c>
      <c r="D22" s="7" t="inlineStr">
        <is>
          <t>Saguaro National Park is home to a variety of desert reptiles, including lizards, snakes, and tortoises.</t>
        </is>
      </c>
      <c r="E22" s="7" t="inlineStr">
        <is>
          <t>Lizards include the venomous Gila monster, common chuckwalla, desert spiny lizard, zebra-tailed lizard, and regal horned lizard.</t>
        </is>
      </c>
      <c r="F22" s="7" t="inlineStr">
        <is>
          <t>closest topic</t>
        </is>
      </c>
      <c r="G22" s="7" t="inlineStr">
        <is>
          <t>The park's 36 reptile species include desert tortoises, diamondback rattlesnakes (one of the more commonly seen snakes), coral snakes, Gila monsters, short-horned lizards, spiny lizards, and zebra-tailed lizards (Source: BioBlitz Count Update from the Saguaro NP BioBlitz 2011).</t>
        </is>
      </c>
      <c r="H22" s="7" t="inlineStr">
        <is>
          <t>statistic, citation written in</t>
        </is>
      </c>
      <c r="I22" s="7" t="inlineStr">
        <is>
          <t>not_met</t>
        </is>
      </c>
      <c r="J22" s="7" t="inlineStr">
        <is>
          <t>Citation Reason</t>
        </is>
      </c>
      <c r="K22" s="7" t="inlineStr">
        <is>
          <t>Wikipedia: Saguaro_National_Park</t>
        </is>
      </c>
      <c r="L22" s="7" t="n"/>
      <c r="M22" s="7">
        <f>IF(L22="","",IF((L22="met")=(I22="met"),1,0))</f>
        <v/>
      </c>
      <c r="N22" s="7" t="n"/>
    </row>
    <row r="23">
      <c r="A23" s="7" t="n">
        <v>21</v>
      </c>
      <c r="B23" s="7" t="inlineStr">
        <is>
          <t>C1-21</t>
        </is>
      </c>
      <c r="C23" s="7" t="inlineStr">
        <is>
          <t>What did the Scottish National Antarctic Expedition discover about the depth of the Weddell Sea?</t>
        </is>
      </c>
      <c r="D23" s="7" t="inlineStr"/>
      <c r="E23" s="7" t="inlineStr">
        <is>
          <t>The Scottish National Antarctic Expedition of 1902–1904 discovered that much of the Weddell Sea was a deep ocean basin rather than a shallow sea.</t>
        </is>
      </c>
      <c r="F23" s="7" t="inlineStr">
        <is>
          <t>number, no source in it</t>
        </is>
      </c>
      <c r="G23" s="7" t="inlineStr">
        <is>
          <t>A sounding was taken, revealing a sea-depth of 1,131 fathoms (6,786 ft; 2,068 m), compared to the 2,500 fathoms (15,000 ft; 4,600 m) which had been the general measurement up to that date (Source: Rudmose Brown).</t>
        </is>
      </c>
      <c r="H23" s="7" t="inlineStr">
        <is>
          <t>statistic, citation written in</t>
        </is>
      </c>
      <c r="I23" s="7" t="inlineStr">
        <is>
          <t>not_met</t>
        </is>
      </c>
      <c r="J23" s="7" t="inlineStr">
        <is>
          <t>Citation Reason</t>
        </is>
      </c>
      <c r="K23" s="7" t="inlineStr">
        <is>
          <t>Wikipedia: Scottish_National_Antarctic_Expedition</t>
        </is>
      </c>
      <c r="L23" s="7" t="n"/>
      <c r="M23" s="7">
        <f>IF(L23="","",IF((L23="met")=(I23="met"),1,0))</f>
        <v/>
      </c>
      <c r="N23" s="7" t="n"/>
    </row>
    <row r="24">
      <c r="A24" s="7" t="n">
        <v>22</v>
      </c>
      <c r="B24" s="7" t="inlineStr">
        <is>
          <t>C1-22</t>
        </is>
      </c>
      <c r="C24" s="7" t="inlineStr">
        <is>
          <t>Do rain gauges in the Bull Run watershed underestimate how much water comes from fog drip?</t>
        </is>
      </c>
      <c r="D24" s="7" t="inlineStr"/>
      <c r="E24" s="7" t="inlineStr">
        <is>
          <t>Yes—standard rain gauges in open clearings can underestimate the total water reaching forested parts of the Bull Run watershed because they miss fog droplets intercepted by trees and then released as drip.</t>
        </is>
      </c>
      <c r="F24" s="7" t="inlineStr">
        <is>
          <t>closest topic</t>
        </is>
      </c>
      <c r="G24" s="7" t="inlineStr">
        <is>
          <t>A study published in 1982 suggested that standard rain gauges placed in open areas might be underestimating the contribution of fog drip to heavily forested parts of the watershed by up to 30 percent (Source: doi:10.1111/j.1752-1688.1982.tb00073.x).</t>
        </is>
      </c>
      <c r="H24" s="7" t="inlineStr">
        <is>
          <t>statistic, citation written in</t>
        </is>
      </c>
      <c r="I24" s="7" t="inlineStr">
        <is>
          <t>not_met</t>
        </is>
      </c>
      <c r="J24" s="7" t="inlineStr">
        <is>
          <t>Citation Reason</t>
        </is>
      </c>
      <c r="K24" s="7" t="inlineStr">
        <is>
          <t>Wikipedia: Bull_Run_River_(Oregon)</t>
        </is>
      </c>
      <c r="L24" s="7" t="n"/>
      <c r="M24" s="7">
        <f>IF(L24="","",IF((L24="met")=(I24="met"),1,0))</f>
        <v/>
      </c>
      <c r="N24" s="7" t="n"/>
    </row>
    <row r="25">
      <c r="A25" s="7" t="n">
        <v>23</v>
      </c>
      <c r="B25" s="7" t="inlineStr">
        <is>
          <t>C1-23</t>
        </is>
      </c>
      <c r="C25" s="7" t="inlineStr">
        <is>
          <t>How did Paul Collingwood get his first call-up to the England ODI team?</t>
        </is>
      </c>
      <c r="D25" s="7" t="inlineStr"/>
      <c r="E25" s="7" t="inlineStr">
        <is>
          <t>Paul Collingwood earned his first England ODI call-up in 2001 after impressing with Durham in county cricket.</t>
        </is>
      </c>
      <c r="F25" s="7" t="inlineStr">
        <is>
          <t>number, no source in it</t>
        </is>
      </c>
      <c r="G25" s="7" t="inlineStr">
        <is>
          <t>Collingwood's form for Durham in 2001 earned him a call-up to the England One Day International (ODI) squad, selected for the NatWest Series against Pakistan and Australia that summer, becoming the 162nd to play for England in ODI cricket (Source: NatWest Series 2001 squads).</t>
        </is>
      </c>
      <c r="H25" s="7" t="inlineStr">
        <is>
          <t>statistic, citation written in</t>
        </is>
      </c>
      <c r="I25" s="7" t="inlineStr">
        <is>
          <t>not_met</t>
        </is>
      </c>
      <c r="J25" s="7" t="inlineStr">
        <is>
          <t>Citation Reason</t>
        </is>
      </c>
      <c r="K25" s="7" t="inlineStr">
        <is>
          <t>Wikipedia: Paul_Collingwood</t>
        </is>
      </c>
      <c r="L25" s="7" t="n"/>
      <c r="M25" s="7">
        <f>IF(L25="","",IF((L25="met")=(I25="met"),1,0))</f>
        <v/>
      </c>
      <c r="N25" s="7" t="n"/>
    </row>
    <row r="26">
      <c r="A26" s="7" t="n">
        <v>24</v>
      </c>
      <c r="B26" s="7" t="inlineStr">
        <is>
          <t>C1-24</t>
        </is>
      </c>
      <c r="C26" s="7" t="inlineStr">
        <is>
          <t>How much did it cost to build the ship Discovery for Scott's Antarctic expedition?</t>
        </is>
      </c>
      <c r="D26" s="7" t="inlineStr"/>
      <c r="E26" s="7" t="inlineStr">
        <is>
          <t>The RRS Discovery, built for Captain Robert Falcon Scott’s Antarctic expedition of 1901–1904, cost £51,277 to construct.</t>
        </is>
      </c>
      <c r="F26" s="7" t="inlineStr">
        <is>
          <t>number, no source in it</t>
        </is>
      </c>
      <c r="G26" s="7" t="inlineStr">
        <is>
          <t>The construction cost was £34,050 (2009 = £2.7 million), plus £10,322 (£830,000) for the engines, and the final cost after all modifications was £51,000 (£4.1 m) (Source: Measuring Worth.).</t>
        </is>
      </c>
      <c r="H26" s="7" t="inlineStr">
        <is>
          <t>statistic, citation written in</t>
        </is>
      </c>
      <c r="I26" s="7" t="inlineStr">
        <is>
          <t>not_met</t>
        </is>
      </c>
      <c r="J26" s="7" t="inlineStr">
        <is>
          <t>Citation Reason</t>
        </is>
      </c>
      <c r="K26" s="7" t="inlineStr">
        <is>
          <t>Wikipedia: Discovery_Expedition</t>
        </is>
      </c>
      <c r="L26" s="7" t="n"/>
      <c r="M26" s="7">
        <f>IF(L26="","",IF((L26="met")=(I26="met"),1,0))</f>
        <v/>
      </c>
      <c r="N26" s="7" t="n"/>
    </row>
    <row r="27">
      <c r="A27" s="7" t="n">
        <v>25</v>
      </c>
      <c r="B27" s="7" t="inlineStr">
        <is>
          <t>C1-25</t>
        </is>
      </c>
      <c r="C27" s="7" t="inlineStr">
        <is>
          <t>How common are motor problems like poor coordination or toe walking in autistic people?</t>
        </is>
      </c>
      <c r="D27" s="7" t="inlineStr">
        <is>
          <t>Motor differences are common in autistic people, although they vary widely and aren’t present in everyone.</t>
        </is>
      </c>
      <c r="E27" s="7" t="inlineStr">
        <is>
          <t>Studies in autistic children often find coordination or motor-skill difficulties in roughly 50–80%, including challenges with balance, handwriting, catching a ball, or planning movements; estimates depend on how these difficulties are measured.</t>
        </is>
      </c>
      <c r="F27" s="7" t="inlineStr">
        <is>
          <t>number, no source in it</t>
        </is>
      </c>
      <c r="G27" s="7" t="inlineStr">
        <is>
          <t>An estimated 60%–80% of autistic people have motor signs that include poor muscle tone, poor motor planning, and toe walking; deficits in motor coordination are pervasive across ASD and are greater in autism proper (Source: Advances in autism).</t>
        </is>
      </c>
      <c r="H27" s="7" t="inlineStr">
        <is>
          <t>statistic, citation written in</t>
        </is>
      </c>
      <c r="I27" s="7" t="inlineStr">
        <is>
          <t>not_met</t>
        </is>
      </c>
      <c r="J27" s="7" t="inlineStr">
        <is>
          <t>Citation Reason</t>
        </is>
      </c>
      <c r="K27" s="7" t="inlineStr">
        <is>
          <t>Wikipedia: Autism</t>
        </is>
      </c>
      <c r="L27" s="7" t="n"/>
      <c r="M27" s="7">
        <f>IF(L27="","",IF((L27="met")=(I27="met"),1,0))</f>
        <v/>
      </c>
      <c r="N27" s="7" t="n"/>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7"/>
  <sheetViews>
    <sheetView workbookViewId="0">
      <pane ySplit="2" topLeftCell="A3" activePane="bottomLeft" state="frozen"/>
      <selection pane="bottomLeft" activeCell="A1" sqref="A1"/>
    </sheetView>
  </sheetViews>
  <sheetFormatPr baseColWidth="8" defaultRowHeight="15"/>
  <cols>
    <col width="5" customWidth="1" min="1" max="1"/>
    <col width="8" customWidth="1" min="2" max="2"/>
    <col width="34" customWidth="1" min="3" max="3"/>
    <col width="44" customWidth="1" min="4" max="4"/>
    <col width="50" customWidth="1" min="5" max="5"/>
    <col width="18" customWidth="1" min="6" max="6"/>
    <col width="50" customWidth="1" min="7" max="7"/>
    <col width="22" customWidth="1" min="8" max="8"/>
    <col width="10" customWidth="1" min="9" max="9"/>
    <col width="16" customWidth="1" min="10" max="10"/>
    <col width="16" customWidth="1" min="11" max="11"/>
    <col width="12" customWidth="1" min="12" max="12"/>
    <col width="9" customWidth="1" min="13" max="13"/>
    <col width="24" customWidth="1" min="14" max="14"/>
  </cols>
  <sheetData>
    <row r="1">
      <c r="A1" s="3" t="inlineStr">
        <is>
          <t>C2: Does a reliable source contradict the number?</t>
        </is>
      </c>
      <c r="B1" s="4" t="n"/>
      <c r="C1" s="4" t="n"/>
      <c r="D1" s="4" t="n"/>
      <c r="E1" s="4" t="n"/>
      <c r="F1" s="4" t="n"/>
      <c r="G1" s="4" t="n"/>
      <c r="H1" s="4" t="n"/>
      <c r="I1" s="4" t="n"/>
      <c r="J1" s="4" t="n"/>
      <c r="K1" s="4" t="n"/>
      <c r="L1" s="4" t="n"/>
      <c r="M1" s="4" t="n"/>
      <c r="N1" s="5" t="n"/>
    </row>
    <row r="2">
      <c r="A2" s="6" t="inlineStr">
        <is>
          <t>#</t>
        </is>
      </c>
      <c r="B2" s="6" t="inlineStr">
        <is>
          <t>ID</t>
        </is>
      </c>
      <c r="C2" s="6" t="inlineStr">
        <is>
          <t>Question asked</t>
        </is>
      </c>
      <c r="D2" s="6" t="inlineStr">
        <is>
          <t>Previous 2 sentences</t>
        </is>
      </c>
      <c r="E2" s="6" t="inlineStr">
        <is>
          <t>Relevant sentence (from the answer)</t>
        </is>
      </c>
      <c r="F2" s="6" t="inlineStr">
        <is>
          <t>Why this sentence</t>
        </is>
      </c>
      <c r="G2" s="6" t="inlineStr">
        <is>
          <t>Dataset sentence (to insert)</t>
        </is>
      </c>
      <c r="H2" s="6" t="inlineStr">
        <is>
          <t>Their label</t>
        </is>
      </c>
      <c r="I2" s="6" t="inlineStr">
        <is>
          <t>Expected</t>
        </is>
      </c>
      <c r="J2" s="6" t="inlineStr">
        <is>
          <t>Dataset</t>
        </is>
      </c>
      <c r="K2" s="6" t="inlineStr">
        <is>
          <t>Source / context</t>
        </is>
      </c>
      <c r="L2" s="6" t="inlineStr">
        <is>
          <t>Agent decision</t>
        </is>
      </c>
      <c r="M2" s="6" t="inlineStr">
        <is>
          <t>Correct?</t>
        </is>
      </c>
      <c r="N2" s="6" t="inlineStr">
        <is>
          <t>Notes</t>
        </is>
      </c>
    </row>
    <row r="3">
      <c r="A3" s="7" t="n">
        <v>1</v>
      </c>
      <c r="B3" s="7" t="inlineStr">
        <is>
          <t>C2-01</t>
        </is>
      </c>
      <c r="C3" s="7" t="inlineStr">
        <is>
          <t>Did Raffy Tulfo abolish the K to 12 school system in the Philippines?</t>
        </is>
      </c>
      <c r="D3" s="7" t="inlineStr"/>
      <c r="E3" s="7" t="inlineStr">
        <is>
          <t>No, Senator Raffy Tulfo did not abolish the K to 12 school system in the Philippines.</t>
        </is>
      </c>
      <c r="F3" s="7" t="inlineStr">
        <is>
          <t>contains a number</t>
        </is>
      </c>
      <c r="G3" s="7" t="inlineStr">
        <is>
          <t>Raffy Tulfo has taken action against the K to 12 system and abolished it</t>
        </is>
      </c>
      <c r="H3" s="7" t="inlineStr">
        <is>
          <t>False (False.)</t>
        </is>
      </c>
      <c r="I3" s="7" t="inlineStr">
        <is>
          <t>met</t>
        </is>
      </c>
      <c r="J3" s="7" t="inlineStr">
        <is>
          <t>QuanTemp</t>
        </is>
      </c>
      <c r="K3" s="7" t="inlineStr">
        <is>
          <t>https://verafiles.org/articles/vera-files-fact-check-posts-falsely-claim-tulfo-abolished-k-to-12-program</t>
        </is>
      </c>
      <c r="L3" s="7" t="n"/>
      <c r="M3" s="7">
        <f>IF(L3="","",IF((L3="met")=(I3="met"),1,0))</f>
        <v/>
      </c>
      <c r="N3" s="7" t="n"/>
    </row>
    <row r="4">
      <c r="A4" s="7" t="n">
        <v>2</v>
      </c>
      <c r="B4" s="7" t="inlineStr">
        <is>
          <t>C2-02</t>
        </is>
      </c>
      <c r="C4" s="7" t="inlineStr">
        <is>
          <t>How many jobs did the working tax cut create?</t>
        </is>
      </c>
      <c r="D4" s="7" t="inlineStr"/>
      <c r="E4" s="7" t="inlineStr">
        <is>
          <t>There isn’t a single reliable number of jobs created by “the working tax cut,” because it’s unclear which policy you mean.</t>
        </is>
      </c>
      <c r="F4" s="7" t="inlineStr">
        <is>
          <t>closest topic</t>
        </is>
      </c>
      <c r="G4" s="7" t="inlineStr">
        <is>
          <t>The working tax cut created over 40,000 new jobs in just the last four years.</t>
        </is>
      </c>
      <c r="H4" s="7" t="inlineStr">
        <is>
          <t>False (pants-fire)</t>
        </is>
      </c>
      <c r="I4" s="7" t="inlineStr">
        <is>
          <t>met</t>
        </is>
      </c>
      <c r="J4" s="7" t="inlineStr">
        <is>
          <t>QuanTemp</t>
        </is>
      </c>
      <c r="K4" s="7" t="inlineStr">
        <is>
          <t>https://www.politifact.com/factchecks/2013/apr/19/associated-industries-florida/associated-industries-florida-says-insurance-tax-c/</t>
        </is>
      </c>
      <c r="L4" s="7" t="n"/>
      <c r="M4" s="7">
        <f>IF(L4="","",IF((L4="met")=(I4="met"),1,0))</f>
        <v/>
      </c>
      <c r="N4" s="7" t="n"/>
    </row>
    <row r="5">
      <c r="A5" s="7" t="n">
        <v>3</v>
      </c>
      <c r="B5" s="7" t="inlineStr">
        <is>
          <t>C2-03</t>
        </is>
      </c>
      <c r="C5" s="7" t="inlineStr">
        <is>
          <t>Was Michigan Governor Gretchen Whitmer arrested for treason in 2023?</t>
        </is>
      </c>
      <c r="D5" s="7" t="inlineStr"/>
      <c r="E5" s="7" t="inlineStr">
        <is>
          <t>No, Michigan Governor Gretchen Whitmer was not arrested for treason in 2023.</t>
        </is>
      </c>
      <c r="F5" s="7" t="inlineStr">
        <is>
          <t>contains a number</t>
        </is>
      </c>
      <c r="G5" s="7" t="inlineStr">
        <is>
          <t>In May 2023, Michigan Gov. Gretchen Whitmer was arrested and charged with treason.</t>
        </is>
      </c>
      <c r="H5" s="7" t="inlineStr">
        <is>
          <t>False (Labeled Satire)</t>
        </is>
      </c>
      <c r="I5" s="7" t="inlineStr">
        <is>
          <t>met</t>
        </is>
      </c>
      <c r="J5" s="7" t="inlineStr">
        <is>
          <t>QuanTemp</t>
        </is>
      </c>
      <c r="K5" s="7" t="inlineStr">
        <is>
          <t>https://www.snopes.com/fact-check/gretchen-whitmer-arrested-for-treason/</t>
        </is>
      </c>
      <c r="L5" s="7" t="n"/>
      <c r="M5" s="7">
        <f>IF(L5="","",IF((L5="met")=(I5="met"),1,0))</f>
        <v/>
      </c>
      <c r="N5" s="7" t="n"/>
    </row>
    <row r="6">
      <c r="A6" s="7" t="n">
        <v>4</v>
      </c>
      <c r="B6" s="7" t="inlineStr">
        <is>
          <t>C2-04</t>
        </is>
      </c>
      <c r="C6" s="7" t="inlineStr">
        <is>
          <t>Did Hawaii buy suicide pods after legalizing physician-assisted death in 2019?</t>
        </is>
      </c>
      <c r="D6" s="7" t="inlineStr"/>
      <c r="E6" s="7" t="inlineStr">
        <is>
          <t>No. Hawaii did not buy suicide pods after its medical aid-in-dying law took effect on January 1, 2019.</t>
        </is>
      </c>
      <c r="F6" s="7" t="inlineStr">
        <is>
          <t>contains a number</t>
        </is>
      </c>
      <c r="G6" s="7" t="inlineStr">
        <is>
          <t>Following the Jan. 1, 2019, legalization of physician-assisted death in Hawaii, state leaders bought 30 “passing assistance pods.</t>
        </is>
      </c>
      <c r="H6" s="7" t="inlineStr">
        <is>
          <t>False (labeled satire)</t>
        </is>
      </c>
      <c r="I6" s="7" t="inlineStr">
        <is>
          <t>met</t>
        </is>
      </c>
      <c r="J6" s="7" t="inlineStr">
        <is>
          <t>QuanTemp</t>
        </is>
      </c>
      <c r="K6" s="7" t="inlineStr">
        <is>
          <t>https://www.snopes.com/fact-check/hawaii-death-pods/</t>
        </is>
      </c>
      <c r="L6" s="7" t="n"/>
      <c r="M6" s="7">
        <f>IF(L6="","",IF((L6="met")=(I6="met"),1,0))</f>
        <v/>
      </c>
      <c r="N6" s="7" t="n"/>
    </row>
    <row r="7">
      <c r="A7" s="7" t="n">
        <v>5</v>
      </c>
      <c r="B7" s="7" t="inlineStr">
        <is>
          <t>C2-05</t>
        </is>
      </c>
      <c r="C7" s="7" t="inlineStr">
        <is>
          <t>Did Joe Biden say Democrats would cheat in the 2022 elections?</t>
        </is>
      </c>
      <c r="D7" s="7" t="inlineStr"/>
      <c r="E7" s="7" t="inlineStr">
        <is>
          <t>No, Joe Biden did not say Democrats would cheat in the 2022 elections.</t>
        </is>
      </c>
      <c r="F7" s="7" t="inlineStr">
        <is>
          <t>contains a number</t>
        </is>
      </c>
      <c r="G7" s="7" t="inlineStr">
        <is>
          <t>Joe Biden said Democrats would cheat in 2022 by dumping ballots</t>
        </is>
      </c>
      <c r="H7" s="7" t="inlineStr">
        <is>
          <t>False (False)</t>
        </is>
      </c>
      <c r="I7" s="7" t="inlineStr">
        <is>
          <t>met</t>
        </is>
      </c>
      <c r="J7" s="7" t="inlineStr">
        <is>
          <t>QuanTemp</t>
        </is>
      </c>
      <c r="K7" s="7" t="inlineStr">
        <is>
          <t>https://factcheck.afp.com/doc.afp.com.32N22RR-1</t>
        </is>
      </c>
      <c r="L7" s="7" t="n"/>
      <c r="M7" s="7">
        <f>IF(L7="","",IF((L7="met")=(I7="met"),1,0))</f>
        <v/>
      </c>
      <c r="N7" s="7" t="n"/>
    </row>
    <row r="8">
      <c r="A8" s="7" t="n">
        <v>6</v>
      </c>
      <c r="B8" s="7" t="inlineStr">
        <is>
          <t>C2-06</t>
        </is>
      </c>
      <c r="C8" s="7" t="inlineStr">
        <is>
          <t>What did the government say in 2010 about how many small businesses would lose their health coverage under the Affordable Care Act?</t>
        </is>
      </c>
      <c r="D8" s="7" t="inlineStr"/>
      <c r="E8" s="7" t="inlineStr">
        <is>
          <t>In 2010, the Obama administration estimated that about two-thirds of small-employer health plans could lose their “grandfathered” status under the Affordable Care Act by 2013.</t>
        </is>
      </c>
      <c r="F8" s="7" t="inlineStr">
        <is>
          <t>contains a number</t>
        </is>
      </c>
      <c r="G8" s="7" t="inlineStr">
        <is>
          <t>In July 2010 the government said small businesses -- 60 percent -- will lose their health care, 45 percent of big business and a large percentage of individual health.</t>
        </is>
      </c>
      <c r="H8" s="7" t="inlineStr">
        <is>
          <t>False (false)</t>
        </is>
      </c>
      <c r="I8" s="7" t="inlineStr">
        <is>
          <t>met</t>
        </is>
      </c>
      <c r="J8" s="7" t="inlineStr">
        <is>
          <t>QuanTemp</t>
        </is>
      </c>
      <c r="K8" s="7" t="inlineStr">
        <is>
          <t>https://www.politifact.com/factchecks/2013/nov/13/sean-hannity/hannity-says-government-predicted-massive-loss-hea/</t>
        </is>
      </c>
      <c r="L8" s="7" t="n"/>
      <c r="M8" s="7">
        <f>IF(L8="","",IF((L8="met")=(I8="met"),1,0))</f>
        <v/>
      </c>
      <c r="N8" s="7" t="n"/>
    </row>
    <row r="9">
      <c r="A9" s="7" t="n">
        <v>7</v>
      </c>
      <c r="B9" s="7" t="inlineStr">
        <is>
          <t>C2-07</t>
        </is>
      </c>
      <c r="C9" s="7" t="inlineStr">
        <is>
          <t>Did Malia Obama say white people would be blended out of the population?</t>
        </is>
      </c>
      <c r="D9" s="7" t="inlineStr"/>
      <c r="E9" s="7" t="inlineStr">
        <is>
          <t>No credible evidence shows that Malia Obama said white people would be “blended out of the population.” The claim is an unsupported quote circulated online, rather than a statement backed by a verifiable interview, recording, or transcript.</t>
        </is>
      </c>
      <c r="F9" s="7" t="inlineStr">
        <is>
          <t>closest topic</t>
        </is>
      </c>
      <c r="G9" s="7" t="inlineStr">
        <is>
          <t>Former first daughter Malia Obama said white people will be 'blended out' of the population by the time she turns 30.</t>
        </is>
      </c>
      <c r="H9" s="7" t="inlineStr">
        <is>
          <t>False (False)</t>
        </is>
      </c>
      <c r="I9" s="7" t="inlineStr">
        <is>
          <t>met</t>
        </is>
      </c>
      <c r="J9" s="7" t="inlineStr">
        <is>
          <t>QuanTemp</t>
        </is>
      </c>
      <c r="K9" s="7" t="inlineStr">
        <is>
          <t>https://www.snopes.com/fact-check/malia-obama-white-people-blended-out/</t>
        </is>
      </c>
      <c r="L9" s="7" t="n"/>
      <c r="M9" s="7">
        <f>IF(L9="","",IF((L9="met")=(I9="met"),1,0))</f>
        <v/>
      </c>
      <c r="N9" s="7" t="n"/>
    </row>
    <row r="10">
      <c r="A10" s="7" t="n">
        <v>8</v>
      </c>
      <c r="B10" s="7" t="inlineStr">
        <is>
          <t>C2-08</t>
        </is>
      </c>
      <c r="C10" s="7" t="inlineStr">
        <is>
          <t>Did Somali teenagers attack people with hammers at a Minneapolis train station in 2019?</t>
        </is>
      </c>
      <c r="D10" s="7" t="inlineStr"/>
      <c r="E10" s="7" t="inlineStr">
        <is>
          <t>The claim was not substantiated as stated: a disturbance occurred at Minneapolis’s East Bank light-rail station on May 17, 2019, but reports of hammer attacks and injuries were not confirmed by the subsequent police account.</t>
        </is>
      </c>
      <c r="F10" s="7" t="inlineStr">
        <is>
          <t>contains a number</t>
        </is>
      </c>
      <c r="G10" s="7" t="inlineStr">
        <is>
          <t>A group of Somali teenagers used hammers to physically attack and injure several passersby at a train station in Minneapolis in May 2019.</t>
        </is>
      </c>
      <c r="H10" s="7" t="inlineStr">
        <is>
          <t>False (Mostly False)</t>
        </is>
      </c>
      <c r="I10" s="7" t="inlineStr">
        <is>
          <t>met</t>
        </is>
      </c>
      <c r="J10" s="7" t="inlineStr">
        <is>
          <t>QuanTemp</t>
        </is>
      </c>
      <c r="K10" s="7" t="inlineStr">
        <is>
          <t>https://www.snopes.com/fact-check/somali-teens-hammers/</t>
        </is>
      </c>
      <c r="L10" s="7" t="n"/>
      <c r="M10" s="7">
        <f>IF(L10="","",IF((L10="met")=(I10="met"),1,0))</f>
        <v/>
      </c>
      <c r="N10" s="7" t="n"/>
    </row>
    <row r="11">
      <c r="A11" s="7" t="n">
        <v>9</v>
      </c>
      <c r="B11" s="7" t="inlineStr">
        <is>
          <t>C2-09</t>
        </is>
      </c>
      <c r="C11" s="7" t="inlineStr">
        <is>
          <t>Did Edward Snowden say Russia rigged the 2016 election for Trump?</t>
        </is>
      </c>
      <c r="D11" s="7" t="inlineStr"/>
      <c r="E11" s="7" t="inlineStr">
        <is>
          <t>There is no reliable evidence that Edward Snowden said Russia “rigged the 2016 election for Trump.” He did suggest that circumstantial evidence pointed to Russian responsibility for the DNC hack, while also calling for stronger public evidence.</t>
        </is>
      </c>
      <c r="F11" s="7" t="inlineStr">
        <is>
          <t>contains a number</t>
        </is>
      </c>
      <c r="G11" s="7" t="inlineStr">
        <is>
          <t>Edward Snowden claimed that Russia fixed the 2016 general election so Donald Trump would win.</t>
        </is>
      </c>
      <c r="H11" s="7" t="inlineStr">
        <is>
          <t>False (False)</t>
        </is>
      </c>
      <c r="I11" s="7" t="inlineStr">
        <is>
          <t>met</t>
        </is>
      </c>
      <c r="J11" s="7" t="inlineStr">
        <is>
          <t>QuanTemp</t>
        </is>
      </c>
      <c r="K11" s="7" t="inlineStr">
        <is>
          <t>https://www.snopes.com/fact-check/edward-snowden-said-russia-successfully-rigged-u-s-elections-in-favor-of-trump/</t>
        </is>
      </c>
      <c r="L11" s="7" t="n"/>
      <c r="M11" s="7">
        <f>IF(L11="","",IF((L11="met")=(I11="met"),1,0))</f>
        <v/>
      </c>
      <c r="N11" s="7" t="n"/>
    </row>
    <row r="12">
      <c r="A12" s="7" t="n">
        <v>10</v>
      </c>
      <c r="B12" s="7" t="inlineStr">
        <is>
          <t>C2-10</t>
        </is>
      </c>
      <c r="C12" s="7" t="inlineStr">
        <is>
          <t>Did Mamata Banerjee order RSS-run schools in West Bengal to close after winning the 2021 election?</t>
        </is>
      </c>
      <c r="D12" s="7" t="inlineStr"/>
      <c r="E12" s="7" t="inlineStr">
        <is>
          <t>No. The claim that Mamata Banerjee ordered RSS-run schools in West Bengal to close after winning the 2021 election misleadingly recirculated reports from 2017.</t>
        </is>
      </c>
      <c r="F12" s="7" t="inlineStr">
        <is>
          <t>contains a number</t>
        </is>
      </c>
      <c r="G12" s="7" t="inlineStr">
        <is>
          <t>After the recent election victory, Mamata Banerjee issued orders to shut down 125 RSS-affiliated schools in West Bengal</t>
        </is>
      </c>
      <c r="H12" s="7" t="inlineStr">
        <is>
          <t>False (MISLEADING)</t>
        </is>
      </c>
      <c r="I12" s="7" t="inlineStr">
        <is>
          <t>met</t>
        </is>
      </c>
      <c r="J12" s="7" t="inlineStr">
        <is>
          <t>QuanTemp</t>
        </is>
      </c>
      <c r="K12" s="7" t="inlineStr">
        <is>
          <t>https://factly.in/old-news-of-west-bengal-government-banning-125-rss-affiliated-schools-for-not-having-noc-certificate-revived-again/</t>
        </is>
      </c>
      <c r="L12" s="7" t="n"/>
      <c r="M12" s="7">
        <f>IF(L12="","",IF((L12="met")=(I12="met"),1,0))</f>
        <v/>
      </c>
      <c r="N12" s="7" t="n"/>
    </row>
    <row r="13">
      <c r="A13" s="7" t="n">
        <v>11</v>
      </c>
      <c r="B13" s="7" t="inlineStr">
        <is>
          <t>C2-11</t>
        </is>
      </c>
      <c r="C13" s="7" t="inlineStr">
        <is>
          <t>Did Rishi Sunak donate money to build the Ram Temple in Ayodhya?</t>
        </is>
      </c>
      <c r="D13" s="7" t="inlineStr">
        <is>
          <t>There is no verified public evidence that Rishi Sunak donated money to build the Ram Temple in Ayodhya.</t>
        </is>
      </c>
      <c r="E13" s="7" t="inlineStr">
        <is>
          <t>A viral claim that he donated ₹1 crore was debunked by [Aaj Tak’s fact-check](https://www.aajtak.in/fact-check/story/fact-check-rishi-sunak-ram-mandir-one-crore-check-ntc-1675759-2023-04-16).</t>
        </is>
      </c>
      <c r="F13" s="7" t="inlineStr">
        <is>
          <t>contains a number</t>
        </is>
      </c>
      <c r="G13" s="7" t="inlineStr">
        <is>
          <t>UK PM Rishi Sunak made a donation of Rs 1 crore to build Ram Temple</t>
        </is>
      </c>
      <c r="H13" s="7" t="inlineStr">
        <is>
          <t>False (False)</t>
        </is>
      </c>
      <c r="I13" s="7" t="inlineStr">
        <is>
          <t>met</t>
        </is>
      </c>
      <c r="J13" s="7" t="inlineStr">
        <is>
          <t>QuanTemp</t>
        </is>
      </c>
      <c r="K13" s="7" t="inlineStr">
        <is>
          <t>https://newsmobile.in/articles/2023/04/18/fact-check-did-rishi-sunak-donate-rs-1-crore-for-the-construction-of-ram-temple-heres-the-truth/</t>
        </is>
      </c>
      <c r="L13" s="7" t="n"/>
      <c r="M13" s="7">
        <f>IF(L13="","",IF((L13="met")=(I13="met"),1,0))</f>
        <v/>
      </c>
      <c r="N13" s="7" t="n"/>
    </row>
    <row r="14">
      <c r="A14" s="7" t="n">
        <v>12</v>
      </c>
      <c r="B14" s="7" t="inlineStr">
        <is>
          <t>C2-12</t>
        </is>
      </c>
      <c r="C14" s="7" t="inlineStr">
        <is>
          <t>What did Donald Trump say on his birthday on June 14, 2022?</t>
        </is>
      </c>
      <c r="D14" s="7" t="inlineStr"/>
      <c r="E14" s="7" t="inlineStr">
        <is>
          <t>On June 14, 2022, his 76th birthday, Donald Trump posted on Truth Social criticizing the House committee investigating the January 6 Capitol attack.</t>
        </is>
      </c>
      <c r="F14" s="7" t="inlineStr">
        <is>
          <t>contains a number</t>
        </is>
      </c>
      <c r="G14" s="7" t="inlineStr">
        <is>
          <t>On June 14, 2022, Donald Trump marked his birthday with a statement in which he attacked Liz Cheney, made a lewd remark about his wife Melania, and asked for donations.</t>
        </is>
      </c>
      <c r="H14" s="7" t="inlineStr">
        <is>
          <t>False (originated as satire)</t>
        </is>
      </c>
      <c r="I14" s="7" t="inlineStr">
        <is>
          <t>met</t>
        </is>
      </c>
      <c r="J14" s="7" t="inlineStr">
        <is>
          <t>QuanTemp</t>
        </is>
      </c>
      <c r="K14" s="7" t="inlineStr">
        <is>
          <t>https://www.snopes.com/fact-check/trump-birthday-donations-cheney-statement/</t>
        </is>
      </c>
      <c r="L14" s="7" t="n"/>
      <c r="M14" s="7">
        <f>IF(L14="","",IF((L14="met")=(I14="met"),1,0))</f>
        <v/>
      </c>
      <c r="N14" s="7" t="n"/>
    </row>
    <row r="15">
      <c r="A15" s="7" t="n">
        <v>13</v>
      </c>
      <c r="B15" s="7" t="inlineStr">
        <is>
          <t>C2-13</t>
        </is>
      </c>
      <c r="C15" s="7" t="inlineStr">
        <is>
          <t>Did Vijay Mallya donate money to the BJP before leaving India?</t>
        </is>
      </c>
      <c r="D15" s="7" t="inlineStr">
        <is>
          <t>It also named Glamour Steels Private Limited as the account holder and was dated November 8, 2016, whereas Mallya left India on March 2, 2016. / This debunks that specific allegation; it does not establish whether he ever made any other political donations.</t>
        </is>
      </c>
      <c r="E15" s="7" t="inlineStr">
        <is>
          <t>([The Quint/BOOM fact-check](https://www.thequint.com/news/webqoof/did-vijay-mallya-donate-rs-35-crore-to-bjp-before-leaving-india))</t>
        </is>
      </c>
      <c r="F15" s="7" t="inlineStr">
        <is>
          <t>contains a number</t>
        </is>
      </c>
      <c r="G15" s="7" t="inlineStr">
        <is>
          <t>Vijay Mallya deposited a cheque of Rs 35 crore in BJP's fund before he fled to London.</t>
        </is>
      </c>
      <c r="H15" s="7" t="inlineStr">
        <is>
          <t>False (False)</t>
        </is>
      </c>
      <c r="I15" s="7" t="inlineStr">
        <is>
          <t>met</t>
        </is>
      </c>
      <c r="J15" s="7" t="inlineStr">
        <is>
          <t>QuanTemp</t>
        </is>
      </c>
      <c r="K15" s="7" t="inlineStr">
        <is>
          <t>https://www.boomlive.in/fact-check/politics/fact-check-vijay-mallya-cheque-crores-donation-bharatiya-janata-party-14731</t>
        </is>
      </c>
      <c r="L15" s="7" t="n"/>
      <c r="M15" s="7">
        <f>IF(L15="","",IF((L15="met")=(I15="met"),1,0))</f>
        <v/>
      </c>
      <c r="N15" s="7" t="n"/>
    </row>
    <row r="16">
      <c r="A16" s="7" t="n">
        <v>14</v>
      </c>
      <c r="B16" s="7" t="inlineStr">
        <is>
          <t>C2-14</t>
        </is>
      </c>
      <c r="C16" s="7" t="inlineStr">
        <is>
          <t>How did Lyft respond to Texas's 2021 abortion law?</t>
        </is>
      </c>
      <c r="D16" s="7" t="inlineStr"/>
      <c r="E16" s="7" t="inlineStr">
        <is>
          <t>Lyft opposed Texas’s 2021 abortion law, which banned most abortions after about six weeks of pregnancy and allowed private citizens to sue people who helped someone obtain an abortion.</t>
        </is>
      </c>
      <c r="F16" s="7" t="inlineStr">
        <is>
          <t>contains a number</t>
        </is>
      </c>
      <c r="G16" s="7" t="inlineStr">
        <is>
          <t>In September 2021, the ride-sharing company Lyft expressed opposition to new abortion restrictions in Texas and announced a legal defense fund for affected drivers.</t>
        </is>
      </c>
      <c r="H16" s="7" t="inlineStr">
        <is>
          <t>True (True)</t>
        </is>
      </c>
      <c r="I16" s="7" t="inlineStr">
        <is>
          <t>not_met</t>
        </is>
      </c>
      <c r="J16" s="7" t="inlineStr">
        <is>
          <t>QuanTemp</t>
        </is>
      </c>
      <c r="K16" s="7" t="inlineStr">
        <is>
          <t>https://www.snopes.com/fact-check/lyft-legal-aid-texas-abortion/</t>
        </is>
      </c>
      <c r="L16" s="7" t="n"/>
      <c r="M16" s="7">
        <f>IF(L16="","",IF((L16="met")=(I16="met"),1,0))</f>
        <v/>
      </c>
      <c r="N16" s="7" t="n"/>
    </row>
    <row r="17">
      <c r="A17" s="7" t="n">
        <v>15</v>
      </c>
      <c r="B17" s="7" t="inlineStr">
        <is>
          <t>C2-15</t>
        </is>
      </c>
      <c r="C17" s="7" t="inlineStr">
        <is>
          <t>What share of new jobs in Austin pay a living wage?</t>
        </is>
      </c>
      <c r="D17" s="7" t="inlineStr"/>
      <c r="E17" s="7" t="inlineStr">
        <is>
          <t>There isn’t a single reliable percentage of new jobs in Austin that pay a living wage without specifying the time period, geographic area, and household type.</t>
        </is>
      </c>
      <c r="F17" s="7" t="inlineStr">
        <is>
          <t>closest topic</t>
        </is>
      </c>
      <c r="G17" s="7" t="inlineStr">
        <is>
          <t>57% of the jobs created in Austin from 2009 to 2013 do not pay families a living wage.</t>
        </is>
      </c>
      <c r="H17" s="7" t="inlineStr">
        <is>
          <t>True (mostly-true)</t>
        </is>
      </c>
      <c r="I17" s="7" t="inlineStr">
        <is>
          <t>not_met</t>
        </is>
      </c>
      <c r="J17" s="7" t="inlineStr">
        <is>
          <t>QuanTemp</t>
        </is>
      </c>
      <c r="K17" s="7" t="inlineStr">
        <is>
          <t>https://www.politifact.com/factchecks/2014/sep/17/steve-adler/steve-adler-says-57-percent-jobs-added-2009-2013-d/</t>
        </is>
      </c>
      <c r="L17" s="7" t="n"/>
      <c r="M17" s="7">
        <f>IF(L17="","",IF((L17="met")=(I17="met"),1,0))</f>
        <v/>
      </c>
      <c r="N17" s="7" t="n"/>
    </row>
    <row r="18">
      <c r="A18" s="7" t="n">
        <v>16</v>
      </c>
      <c r="B18" s="7" t="inlineStr">
        <is>
          <t>C2-16</t>
        </is>
      </c>
      <c r="C18" s="7" t="inlineStr">
        <is>
          <t>Did most people in Ireland want a referendum on same-sex marriage?</t>
        </is>
      </c>
      <c r="D18" s="7" t="inlineStr"/>
      <c r="E18" s="7" t="inlineStr">
        <is>
          <t>If you mean the Republic of Ireland’s 2015 referendum, most voters supported allowing same-sex marriage: 62.1% voted Yes, with turnout of about 60.5%.</t>
        </is>
      </c>
      <c r="F18" s="7" t="inlineStr">
        <is>
          <t>contains a number</t>
        </is>
      </c>
      <c r="G18" s="7" t="inlineStr">
        <is>
          <t>Over 80 percent of the people want the shot to vote on whether to approve same-sex marriage, according to polls.</t>
        </is>
      </c>
      <c r="H18" s="7" t="inlineStr">
        <is>
          <t>True (mostly-true)</t>
        </is>
      </c>
      <c r="I18" s="7" t="inlineStr">
        <is>
          <t>not_met</t>
        </is>
      </c>
      <c r="J18" s="7" t="inlineStr">
        <is>
          <t>QuanTemp</t>
        </is>
      </c>
      <c r="K18" s="7" t="inlineStr">
        <is>
          <t>https://www.politifact.com/factchecks/2010/dec/26/vincent-buddy-cianci/cianci-says-polls-support-idea-more-80-percent-rho/</t>
        </is>
      </c>
      <c r="L18" s="7" t="n"/>
      <c r="M18" s="7">
        <f>IF(L18="","",IF((L18="met")=(I18="met"),1,0))</f>
        <v/>
      </c>
      <c r="N18" s="7" t="n"/>
    </row>
    <row r="19">
      <c r="A19" s="7" t="n">
        <v>17</v>
      </c>
      <c r="B19" s="7" t="inlineStr">
        <is>
          <t>C2-17</t>
        </is>
      </c>
      <c r="C19" s="7" t="inlineStr">
        <is>
          <t>How many people born in Northern Ireland hold an Irish passport?</t>
        </is>
      </c>
      <c r="D19" s="7" t="inlineStr">
        <is>
          <t>There isn’t a readily available definitive count of people born in Northern Ireland who hold an Irish passport, including those now living elsewhere.</t>
        </is>
      </c>
      <c r="E19" s="7" t="inlineStr">
        <is>
          <t>Northern Ireland’s 2021 census recorded approximately 614,300 residents holding an Irish passport—about 32% of the population.</t>
        </is>
      </c>
      <c r="F19" s="7" t="inlineStr">
        <is>
          <t>contains a number</t>
        </is>
      </c>
      <c r="G19" s="7" t="inlineStr">
        <is>
          <t>More than 700,000 people born in Northern Ireland have an Irish passport.</t>
        </is>
      </c>
      <c r="H19" s="7" t="inlineStr">
        <is>
          <t>True (ACCURATE)</t>
        </is>
      </c>
      <c r="I19" s="7" t="inlineStr">
        <is>
          <t>not_met</t>
        </is>
      </c>
      <c r="J19" s="7" t="inlineStr">
        <is>
          <t>QuanTemp</t>
        </is>
      </c>
      <c r="K19" s="7" t="inlineStr">
        <is>
          <t>https://factcheckni.org/topics/europe/do-more-than-700000-born-in-northern-ireland-have-an-irish-passport/</t>
        </is>
      </c>
      <c r="L19" s="7" t="n"/>
      <c r="M19" s="7">
        <f>IF(L19="","",IF((L19="met")=(I19="met"),1,0))</f>
        <v/>
      </c>
      <c r="N19" s="7" t="n"/>
    </row>
    <row r="20">
      <c r="A20" s="7" t="n">
        <v>18</v>
      </c>
      <c r="B20" s="7" t="inlineStr">
        <is>
          <t>C2-18</t>
        </is>
      </c>
      <c r="C20" s="7" t="inlineStr">
        <is>
          <t>What happened with the two Laura Buxtons and the balloon?</t>
        </is>
      </c>
      <c r="D20" s="7" t="inlineStr"/>
      <c r="E20" s="7" t="inlineStr">
        <is>
          <t>In June 2001, a 10-year-old girl named Laura Buxton released a helium balloon from her grandparents’ garden in Staffordshire, England, with her name, address, and a request to write back attached.</t>
        </is>
      </c>
      <c r="F20" s="7" t="inlineStr">
        <is>
          <t>contains a number</t>
        </is>
      </c>
      <c r="G20" s="7" t="inlineStr">
        <is>
          <t>A girl named Laura Buxton released a balloon that ended up in the hands of another girl named Laura Buxton who lived 140 miles away.</t>
        </is>
      </c>
      <c r="H20" s="7" t="inlineStr">
        <is>
          <t>True (Mostly True)</t>
        </is>
      </c>
      <c r="I20" s="7" t="inlineStr">
        <is>
          <t>not_met</t>
        </is>
      </c>
      <c r="J20" s="7" t="inlineStr">
        <is>
          <t>QuanTemp</t>
        </is>
      </c>
      <c r="K20" s="7" t="inlineStr">
        <is>
          <t>https://www.snopes.com/fact-check/whether-balloon/</t>
        </is>
      </c>
      <c r="L20" s="7" t="n"/>
      <c r="M20" s="7">
        <f>IF(L20="","",IF((L20="met")=(I20="met"),1,0))</f>
        <v/>
      </c>
      <c r="N20" s="7" t="n"/>
    </row>
    <row r="21">
      <c r="A21" s="7" t="n">
        <v>19</v>
      </c>
      <c r="B21" s="7" t="inlineStr">
        <is>
          <t>C2-19</t>
        </is>
      </c>
      <c r="C21" s="7" t="inlineStr">
        <is>
          <t>Which countries were first to ratify the African Continental Free Trade Area agreement?</t>
        </is>
      </c>
      <c r="D21" s="7" t="inlineStr">
        <is>
          <t>Ghana and Kenya were the first countries to ratify the African Continental Free Trade Area (AfCFTA) agreement. / Both deposited their instruments of ratification with the African Union on 10 May 2018.</t>
        </is>
      </c>
      <c r="E21" s="7" t="inlineStr">
        <is>
          <t>The agreement had been signed in Kigali, Rwanda, on 21 March 2018 to establish a continent-wide free trade area.</t>
        </is>
      </c>
      <c r="F21" s="7" t="inlineStr">
        <is>
          <t>contains a number</t>
        </is>
      </c>
      <c r="G21" s="7" t="inlineStr">
        <is>
          <t>In March 2018, Kenya and Ghana were the first countries to not only sign but also ratify the landmark agreement creating the African Continental Free Trade Area.</t>
        </is>
      </c>
      <c r="H21" s="7" t="inlineStr">
        <is>
          <t>True (correct)</t>
        </is>
      </c>
      <c r="I21" s="7" t="inlineStr">
        <is>
          <t>not_met</t>
        </is>
      </c>
      <c r="J21" s="7" t="inlineStr">
        <is>
          <t>QuanTemp</t>
        </is>
      </c>
      <c r="K21" s="7" t="inlineStr">
        <is>
          <t>https://africacheck.org/fact-checks/reports/fact-checked-kenya-presidents-2020-state-nation-address</t>
        </is>
      </c>
      <c r="L21" s="7" t="n"/>
      <c r="M21" s="7">
        <f>IF(L21="","",IF((L21="met")=(I21="met"),1,0))</f>
        <v/>
      </c>
      <c r="N21" s="7" t="n"/>
    </row>
    <row r="22">
      <c r="A22" s="7" t="n">
        <v>20</v>
      </c>
      <c r="B22" s="7" t="inlineStr">
        <is>
          <t>C2-20</t>
        </is>
      </c>
      <c r="C22" s="7" t="inlineStr">
        <is>
          <t>Does Florida have the most staged car accidents in the US?</t>
        </is>
      </c>
      <c r="D22" s="7" t="inlineStr"/>
      <c r="E22" s="7" t="inlineStr">
        <is>
          <t>Florida is frequently identified as a hotspot for staged car accidents, but saying it has the most in the U.S. requires a specific source and time period.</t>
        </is>
      </c>
      <c r="F22" s="7" t="inlineStr">
        <is>
          <t>closest topic</t>
        </is>
      </c>
      <c r="G22" s="7" t="inlineStr">
        <is>
          <t>Of the topfive cities for staged automobile accidents, three are in Florida. We rank No. 1 in the country in staged auto accidents.</t>
        </is>
      </c>
      <c r="H22" s="7" t="inlineStr">
        <is>
          <t>True (mostly-true)</t>
        </is>
      </c>
      <c r="I22" s="7" t="inlineStr">
        <is>
          <t>not_met</t>
        </is>
      </c>
      <c r="J22" s="7" t="inlineStr">
        <is>
          <t>QuanTemp</t>
        </is>
      </c>
      <c r="K22" s="7" t="inlineStr">
        <is>
          <t>https://www.politifact.com/factchecks/2011/jan/27/jeff-atwater/Florida-tops-staged-auto-accidents-Jeff-Atwater/</t>
        </is>
      </c>
      <c r="L22" s="7" t="n"/>
      <c r="M22" s="7">
        <f>IF(L22="","",IF((L22="met")=(I22="met"),1,0))</f>
        <v/>
      </c>
      <c r="N22" s="7" t="n"/>
    </row>
    <row r="23">
      <c r="A23" s="7" t="n">
        <v>21</v>
      </c>
      <c r="B23" s="7" t="inlineStr">
        <is>
          <t>C2-21</t>
        </is>
      </c>
      <c r="C23" s="7" t="inlineStr">
        <is>
          <t>How many opioid pills were shipped to West Virginia during the opioid crisis?</t>
        </is>
      </c>
      <c r="D23" s="7" t="inlineStr"/>
      <c r="E23" s="7" t="inlineStr">
        <is>
          <t>Drug wholesalers shipped about 780 million hydrocodone and oxycodone pills to West Virginia between 2007 and 2012, according to a Charleston Gazette-Mail investigation using federal drug-shipment records.</t>
        </is>
      </c>
      <c r="F23" s="7" t="inlineStr">
        <is>
          <t>contains a number</t>
        </is>
      </c>
      <c r="G23" s="7" t="inlineStr">
        <is>
          <t>Nearly 800 million opioid pills were shipped to WV, amounting to 433 pills for every man, woman, and child in the state.</t>
        </is>
      </c>
      <c r="H23" s="7" t="inlineStr">
        <is>
          <t>True (mostly-true)</t>
        </is>
      </c>
      <c r="I23" s="7" t="inlineStr">
        <is>
          <t>not_met</t>
        </is>
      </c>
      <c r="J23" s="7" t="inlineStr">
        <is>
          <t>QuanTemp</t>
        </is>
      </c>
      <c r="K23" s="7" t="inlineStr">
        <is>
          <t>https://www.politifact.com/factchecks/2020/oct/15/david-mckinley/how-many-opioid-pills-were-shipped-west-virginia/</t>
        </is>
      </c>
      <c r="L23" s="7" t="n"/>
      <c r="M23" s="7">
        <f>IF(L23="","",IF((L23="met")=(I23="met"),1,0))</f>
        <v/>
      </c>
      <c r="N23" s="7" t="n"/>
    </row>
    <row r="24">
      <c r="A24" s="7" t="n">
        <v>22</v>
      </c>
      <c r="B24" s="7" t="inlineStr">
        <is>
          <t>C2-22</t>
        </is>
      </c>
      <c r="C24" s="7" t="inlineStr">
        <is>
          <t>Was Sarah Huckabee Sanders on Gallup's list of most admired women in 2018?</t>
        </is>
      </c>
      <c r="D24" s="7" t="inlineStr"/>
      <c r="E24" s="7" t="inlineStr">
        <is>
          <t>Sarah Huckabee Sanders was included in Gallup’s detailed 2018 poll results, but she did not make the top 10 most admired women.</t>
        </is>
      </c>
      <c r="F24" s="7" t="inlineStr">
        <is>
          <t>contains a number</t>
        </is>
      </c>
      <c r="G24" s="7" t="inlineStr">
        <is>
          <t>In 2018, White House Press Secretary Sarah Huckabee Sanders was listed as one of the 10 most admired women in the United States.</t>
        </is>
      </c>
      <c r="H24" s="7" t="inlineStr">
        <is>
          <t>True (True)</t>
        </is>
      </c>
      <c r="I24" s="7" t="inlineStr">
        <is>
          <t>not_met</t>
        </is>
      </c>
      <c r="J24" s="7" t="inlineStr">
        <is>
          <t>QuanTemp</t>
        </is>
      </c>
      <c r="K24" s="7" t="inlineStr">
        <is>
          <t>https://www.snopes.com/fact-check/sarah-huckabee-sanders-voted-among-admired-women-united-states/</t>
        </is>
      </c>
      <c r="L24" s="7" t="n"/>
      <c r="M24" s="7">
        <f>IF(L24="","",IF((L24="met")=(I24="met"),1,0))</f>
        <v/>
      </c>
      <c r="N24" s="7" t="n"/>
    </row>
    <row r="25">
      <c r="A25" s="7" t="n">
        <v>23</v>
      </c>
      <c r="B25" s="7" t="inlineStr">
        <is>
          <t>C2-23</t>
        </is>
      </c>
      <c r="C25" s="7" t="inlineStr">
        <is>
          <t>What did the CBO say would happen to jobs if the minimum wage were raised to $10.10?</t>
        </is>
      </c>
      <c r="D25" s="7" t="inlineStr"/>
      <c r="E25" s="7" t="inlineStr">
        <is>
          <t>The Congressional Budget Office estimated in 2014 that raising the federal minimum wage to $10.10 an hour would reduce total employment by about 500,000 jobs by the second half of 2016.</t>
        </is>
      </c>
      <c r="F25" s="7" t="inlineStr">
        <is>
          <t>contains a number</t>
        </is>
      </c>
      <c r="G25" s="7" t="inlineStr">
        <is>
          <t>The CBO says that if you raise the minimum wage to $10.10 an hour, half a million people would lose their jobs.</t>
        </is>
      </c>
      <c r="H25" s="7" t="inlineStr">
        <is>
          <t>True (mostly-true)</t>
        </is>
      </c>
      <c r="I25" s="7" t="inlineStr">
        <is>
          <t>not_met</t>
        </is>
      </c>
      <c r="J25" s="7" t="inlineStr">
        <is>
          <t>QuanTemp</t>
        </is>
      </c>
      <c r="K25" s="7" t="inlineStr">
        <is>
          <t>https://www.politifact.com/factchecks/2014/may/11/rick-santorum/rick-santorum-minimum-wage-increase-would-cost-500/</t>
        </is>
      </c>
      <c r="L25" s="7" t="n"/>
      <c r="M25" s="7">
        <f>IF(L25="","",IF((L25="met")=(I25="met"),1,0))</f>
        <v/>
      </c>
      <c r="N25" s="7" t="n"/>
    </row>
    <row r="26">
      <c r="A26" s="7" t="n">
        <v>24</v>
      </c>
      <c r="B26" s="7" t="inlineStr">
        <is>
          <t>C2-24</t>
        </is>
      </c>
      <c r="C26" s="7" t="inlineStr">
        <is>
          <t>How much student loan debt do Americans have compared with credit card debt?</t>
        </is>
      </c>
      <c r="D26" s="7" t="inlineStr">
        <is>
          <t>Americans owe more in student loans than in credit card debt.</t>
        </is>
      </c>
      <c r="E26" s="7" t="inlineStr">
        <is>
          <t>At the end of 2024, U.S. student loan balances totaled about $1.61 trillion, compared with roughly $1.21 trillion in credit card balances, according to the Federal Reserve Bank of New York.</t>
        </is>
      </c>
      <c r="F26" s="7" t="inlineStr">
        <is>
          <t>contains a number</t>
        </is>
      </c>
      <c r="G26" s="7" t="inlineStr">
        <is>
          <t>Right now, America has $1.1 trillion of student debt. That’s more than credit card debt.</t>
        </is>
      </c>
      <c r="H26" s="7" t="inlineStr">
        <is>
          <t>True (true)</t>
        </is>
      </c>
      <c r="I26" s="7" t="inlineStr">
        <is>
          <t>not_met</t>
        </is>
      </c>
      <c r="J26" s="7" t="inlineStr">
        <is>
          <t>QuanTemp</t>
        </is>
      </c>
      <c r="K26" s="7" t="inlineStr">
        <is>
          <t>https://www.politifact.com/factchecks/2014/jun/10/mark-warner/warner-says-us-student-debt-has-surpassed-credit-c/</t>
        </is>
      </c>
      <c r="L26" s="7" t="n"/>
      <c r="M26" s="7">
        <f>IF(L26="","",IF((L26="met")=(I26="met"),1,0))</f>
        <v/>
      </c>
      <c r="N26" s="7" t="n"/>
    </row>
    <row r="27">
      <c r="A27" s="7" t="n">
        <v>25</v>
      </c>
      <c r="B27" s="7" t="inlineStr">
        <is>
          <t>C2-25</t>
        </is>
      </c>
      <c r="C27" s="7" t="inlineStr">
        <is>
          <t>Was there a petition to rename Reagan National Airport after JoJo Siwa?</t>
        </is>
      </c>
      <c r="D27" s="7" t="inlineStr">
        <is>
          <t>In April 2021, Georgetown University student Dylan Long launched a Change.org petition to rename Ronald Reagan Washington National Airport “JoJo Siwa Washington National Airport.” Long said he objected to honoring Reagan because of his administration’s response to the HIV/AIDS epidemic and chose Siwa, who had recently come out as LGBTQ+, as the replacement.</t>
        </is>
      </c>
      <c r="E27" s="7" t="inlineStr">
        <is>
          <t>The petition attracted thousands of signatures and national attention, as [DCist reported](https://dcist.com/story/21/04/21/petition-to-rename-reagan-national-after-jojo-siwa-pop-singer/).</t>
        </is>
      </c>
      <c r="F27" s="7" t="inlineStr">
        <is>
          <t>contains a number</t>
        </is>
      </c>
      <c r="G27" s="7" t="inlineStr">
        <is>
          <t>In 2021, a petition to rename Reagan National Airport after dancer and TikTok personality Jojo Siwa garnered tens of thousands of signatures.</t>
        </is>
      </c>
      <c r="H27" s="7" t="inlineStr">
        <is>
          <t>True (True)</t>
        </is>
      </c>
      <c r="I27" s="7" t="inlineStr">
        <is>
          <t>not_met</t>
        </is>
      </c>
      <c r="J27" s="7" t="inlineStr">
        <is>
          <t>QuanTemp</t>
        </is>
      </c>
      <c r="K27" s="7" t="inlineStr">
        <is>
          <t>https://www.snopes.com/fact-check/jojo-siwa-petition-reagan-airport/</t>
        </is>
      </c>
      <c r="L27" s="7" t="n"/>
      <c r="M27" s="7">
        <f>IF(L27="","",IF((L27="met")=(I27="met"),1,0))</f>
        <v/>
      </c>
      <c r="N27" s="7" t="n"/>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7"/>
  <sheetViews>
    <sheetView workbookViewId="0">
      <pane ySplit="2" topLeftCell="A3" activePane="bottomLeft" state="frozen"/>
      <selection pane="bottomLeft" activeCell="A1" sqref="A1"/>
    </sheetView>
  </sheetViews>
  <sheetFormatPr baseColWidth="8" defaultRowHeight="15"/>
  <cols>
    <col width="5" customWidth="1" min="1" max="1"/>
    <col width="8" customWidth="1" min="2" max="2"/>
    <col width="34" customWidth="1" min="3" max="3"/>
    <col width="44" customWidth="1" min="4" max="4"/>
    <col width="50" customWidth="1" min="5" max="5"/>
    <col width="18" customWidth="1" min="6" max="6"/>
    <col width="50" customWidth="1" min="7" max="7"/>
    <col width="22" customWidth="1" min="8" max="8"/>
    <col width="10" customWidth="1" min="9" max="9"/>
    <col width="16" customWidth="1" min="10" max="10"/>
    <col width="16" customWidth="1" min="11" max="11"/>
    <col width="12" customWidth="1" min="12" max="12"/>
    <col width="9" customWidth="1" min="13" max="13"/>
    <col width="24" customWidth="1" min="14" max="14"/>
  </cols>
  <sheetData>
    <row r="1">
      <c r="A1" s="3" t="inlineStr">
        <is>
          <t>C3: Slanted / loaded wording where neutral would do?</t>
        </is>
      </c>
      <c r="B1" s="4" t="n"/>
      <c r="C1" s="4" t="n"/>
      <c r="D1" s="4" t="n"/>
      <c r="E1" s="4" t="n"/>
      <c r="F1" s="4" t="n"/>
      <c r="G1" s="4" t="n"/>
      <c r="H1" s="4" t="n"/>
      <c r="I1" s="4" t="n"/>
      <c r="J1" s="4" t="n"/>
      <c r="K1" s="4" t="n"/>
      <c r="L1" s="4" t="n"/>
      <c r="M1" s="4" t="n"/>
      <c r="N1" s="5" t="n"/>
    </row>
    <row r="2">
      <c r="A2" s="6" t="inlineStr">
        <is>
          <t>#</t>
        </is>
      </c>
      <c r="B2" s="6" t="inlineStr">
        <is>
          <t>ID</t>
        </is>
      </c>
      <c r="C2" s="6" t="inlineStr">
        <is>
          <t>Question asked</t>
        </is>
      </c>
      <c r="D2" s="6" t="inlineStr">
        <is>
          <t>Previous 2 sentences</t>
        </is>
      </c>
      <c r="E2" s="6" t="inlineStr">
        <is>
          <t>Relevant sentence (from the answer)</t>
        </is>
      </c>
      <c r="F2" s="6" t="inlineStr">
        <is>
          <t>Why this sentence</t>
        </is>
      </c>
      <c r="G2" s="6" t="inlineStr">
        <is>
          <t>Dataset sentence (to insert)</t>
        </is>
      </c>
      <c r="H2" s="6" t="inlineStr">
        <is>
          <t>Their label</t>
        </is>
      </c>
      <c r="I2" s="6" t="inlineStr">
        <is>
          <t>Expected</t>
        </is>
      </c>
      <c r="J2" s="6" t="inlineStr">
        <is>
          <t>Dataset</t>
        </is>
      </c>
      <c r="K2" s="6" t="inlineStr">
        <is>
          <t>Source / context</t>
        </is>
      </c>
      <c r="L2" s="6" t="inlineStr">
        <is>
          <t>Agent decision</t>
        </is>
      </c>
      <c r="M2" s="6" t="inlineStr">
        <is>
          <t>Correct?</t>
        </is>
      </c>
      <c r="N2" s="6" t="inlineStr">
        <is>
          <t>Notes</t>
        </is>
      </c>
    </row>
    <row r="3">
      <c r="A3" s="7" t="n">
        <v>1</v>
      </c>
      <c r="B3" s="7" t="inlineStr">
        <is>
          <t>C3-01</t>
        </is>
      </c>
      <c r="C3" s="7" t="inlineStr">
        <is>
          <t>Is sexual harassment a problem for workers on the Staten Island Ferry?</t>
        </is>
      </c>
      <c r="D3" s="7" t="inlineStr"/>
      <c r="E3" s="7" t="inlineStr">
        <is>
          <t>Workers on the Staten Island Ferry have reported sexual harassment, and lawsuits have alleged a workplace culture involving unwanted sexual comments, advances, and retaliation against employees who complain.</t>
        </is>
      </c>
      <c r="F3" s="7" t="inlineStr">
        <is>
          <t>closest topic</t>
        </is>
      </c>
      <c r="G3" s="7" t="inlineStr">
        <is>
          <t>Staten Island Ferry passengers are being endangered by rampant sexual harassment of employees on the boats, one skipper claims.</t>
        </is>
      </c>
      <c r="H3" s="7" t="inlineStr">
        <is>
          <t>biased</t>
        </is>
      </c>
      <c r="I3" s="7" t="inlineStr">
        <is>
          <t>met</t>
        </is>
      </c>
      <c r="J3" s="7" t="inlineStr">
        <is>
          <t>BABE</t>
        </is>
      </c>
      <c r="K3" s="7" t="inlineStr">
        <is>
          <t>New York Post</t>
        </is>
      </c>
      <c r="L3" s="7" t="n"/>
      <c r="M3" s="7">
        <f>IF(L3="","",IF((L3="met")=(I3="met"),1,0))</f>
        <v/>
      </c>
      <c r="N3" s="7" t="n"/>
    </row>
    <row r="4">
      <c r="A4" s="7" t="n">
        <v>2</v>
      </c>
      <c r="B4" s="7" t="inlineStr">
        <is>
          <t>C3-02</t>
        </is>
      </c>
      <c r="C4" s="7" t="inlineStr">
        <is>
          <t>Why did health experts treat Black Lives Matter protests differently from other gatherings during COVID-19?</t>
        </is>
      </c>
      <c r="D4" s="7" t="inlineStr"/>
      <c r="E4" s="7" t="inlineStr">
        <is>
          <t>Some public health experts treated Black Lives Matter protests differently because they viewed racism and police violence as public health threats and believed protesting could help address those harms.</t>
        </is>
      </c>
      <c r="F4" s="7" t="inlineStr">
        <is>
          <t>closest topic</t>
        </is>
      </c>
      <c r="G4" s="7" t="inlineStr">
        <is>
          <t>Healthcare “experts” are telling us the coronavirus is lethal if you want to go to work, school, or your grandmother’s funeral, but not so lethal if you are out en masse to support “approved” causes.</t>
        </is>
      </c>
      <c r="H4" s="7" t="inlineStr">
        <is>
          <t>biased</t>
        </is>
      </c>
      <c r="I4" s="7" t="inlineStr">
        <is>
          <t>met</t>
        </is>
      </c>
      <c r="J4" s="7" t="inlineStr">
        <is>
          <t>BABE</t>
        </is>
      </c>
      <c r="K4" s="7" t="inlineStr">
        <is>
          <t>Breitbart</t>
        </is>
      </c>
      <c r="L4" s="7" t="n"/>
      <c r="M4" s="7">
        <f>IF(L4="","",IF((L4="met")=(I4="met"),1,0))</f>
        <v/>
      </c>
      <c r="N4" s="7" t="n"/>
    </row>
    <row r="5">
      <c r="A5" s="7" t="n">
        <v>3</v>
      </c>
      <c r="B5" s="7" t="inlineStr">
        <is>
          <t>C3-03</t>
        </is>
      </c>
      <c r="C5" s="7" t="inlineStr">
        <is>
          <t>What made the Kawasaki Z1 motorcycle so important when it came out?</t>
        </is>
      </c>
      <c r="D5" s="7" t="inlineStr">
        <is>
          <t>When it arrived in 1972 as a 1973 model, the Kawasaki Z1 set a new benchmark for production motorcycle performance.</t>
        </is>
      </c>
      <c r="E5" s="7" t="inlineStr">
        <is>
          <t>Its 903cc, double-overhead-cam, inline-four engine produced about 82 horsepower and could propel it to roughly 130 mph, making it one of the fastest road bikes of its day.</t>
        </is>
      </c>
      <c r="F5" s="7" t="inlineStr">
        <is>
          <t>closest topic</t>
        </is>
      </c>
      <c r="G5" s="7" t="inlineStr">
        <is>
          <t>The combination of a 903cc engine, dual overhead cams and raw horsepower combined with integral styling of tank and body pieces to create a motorcyle for the masses that had never been seen before.</t>
        </is>
      </c>
      <c r="H5" s="7" t="inlineStr">
        <is>
          <t>biased (before the Wikipedia edit)</t>
        </is>
      </c>
      <c r="I5" s="7" t="inlineStr">
        <is>
          <t>met</t>
        </is>
      </c>
      <c r="J5" s="7" t="inlineStr">
        <is>
          <t>WNC</t>
        </is>
      </c>
      <c r="K5" s="7" t="inlineStr"/>
      <c r="L5" s="7" t="n"/>
      <c r="M5" s="7">
        <f>IF(L5="","",IF((L5="met")=(I5="met"),1,0))</f>
        <v/>
      </c>
      <c r="N5" s="7" t="n"/>
    </row>
    <row r="6">
      <c r="A6" s="7" t="n">
        <v>4</v>
      </c>
      <c r="B6" s="7" t="inlineStr">
        <is>
          <t>C3-04</t>
        </is>
      </c>
      <c r="C6" s="7" t="inlineStr">
        <is>
          <t>Why did Florida move unemployment claims online under Governor Rick Scott?</t>
        </is>
      </c>
      <c r="D6" s="7" t="inlineStr"/>
      <c r="E6" s="7" t="inlineStr">
        <is>
          <t>Florida moved unemployment claims to an online-only process under Governor Rick Scott in 2011, presenting the change as a way to cut administrative costs, improve efficiency, and reduce fraud.</t>
        </is>
      </c>
      <c r="F6" s="7" t="inlineStr">
        <is>
          <t>closest topic</t>
        </is>
      </c>
      <c r="G6" s="7" t="inlineStr">
        <is>
          <t>Way back in 2012, then-Gov. Rick Scott made headlines with a weird new policy: Any claim for unemployment could no longer be done by phone or in person—it had to be filed online using his new website.</t>
        </is>
      </c>
      <c r="H6" s="7" t="inlineStr">
        <is>
          <t>biased</t>
        </is>
      </c>
      <c r="I6" s="7" t="inlineStr">
        <is>
          <t>met</t>
        </is>
      </c>
      <c r="J6" s="7" t="inlineStr">
        <is>
          <t>BABE</t>
        </is>
      </c>
      <c r="K6" s="7" t="inlineStr">
        <is>
          <t>Alternet</t>
        </is>
      </c>
      <c r="L6" s="7" t="n"/>
      <c r="M6" s="7">
        <f>IF(L6="","",IF((L6="met")=(I6="met"),1,0))</f>
        <v/>
      </c>
      <c r="N6" s="7" t="n"/>
    </row>
    <row r="7">
      <c r="A7" s="7" t="n">
        <v>5</v>
      </c>
      <c r="B7" s="7" t="inlineStr">
        <is>
          <t>C3-05</t>
        </is>
      </c>
      <c r="C7" s="7" t="inlineStr">
        <is>
          <t>Did The Lancet endorse Joe Biden in 2020?</t>
        </is>
      </c>
      <c r="D7" s="7" t="inlineStr"/>
      <c r="E7" s="7" t="inlineStr">
        <is>
          <t>The Lancet endorsed Joe Biden in the 2020 U.S. presidential election, urging Americans to replace Donald Trump.</t>
        </is>
      </c>
      <c r="F7" s="7" t="inlineStr">
        <is>
          <t>closest topic</t>
        </is>
      </c>
      <c r="G7" s="7" t="inlineStr">
        <is>
          <t>The once venerable Lancet medical journal has put forward Joe Biden as the best choice for Americans’ health, continuing the magazine’s unabashed left-wing activism.</t>
        </is>
      </c>
      <c r="H7" s="7" t="inlineStr">
        <is>
          <t>biased</t>
        </is>
      </c>
      <c r="I7" s="7" t="inlineStr">
        <is>
          <t>met</t>
        </is>
      </c>
      <c r="J7" s="7" t="inlineStr">
        <is>
          <t>BABE</t>
        </is>
      </c>
      <c r="K7" s="7" t="inlineStr">
        <is>
          <t>Breitbart</t>
        </is>
      </c>
      <c r="L7" s="7" t="n"/>
      <c r="M7" s="7">
        <f>IF(L7="","",IF((L7="met")=(I7="met"),1,0))</f>
        <v/>
      </c>
      <c r="N7" s="7" t="n"/>
    </row>
    <row r="8">
      <c r="A8" s="7" t="n">
        <v>6</v>
      </c>
      <c r="B8" s="7" t="inlineStr">
        <is>
          <t>C3-06</t>
        </is>
      </c>
      <c r="C8" s="7" t="inlineStr">
        <is>
          <t>Why did Trump give Rush Limbaugh the Presidential Medal of Freedom?</t>
        </is>
      </c>
      <c r="D8" s="7" t="inlineStr">
        <is>
          <t>Trump awarded Rush Limbaugh the Presidential Medal of Freedom during the February 2020 State of the Union address, shortly after Limbaugh announced he had advanced lung cancer.</t>
        </is>
      </c>
      <c r="E8" s="7" t="inlineStr">
        <is>
          <t>Trump publicly praised Limbaugh’s decades in radio, his influence on millions of listeners, and his charitable work.</t>
        </is>
      </c>
      <c r="F8" s="7" t="inlineStr">
        <is>
          <t>closest topic</t>
        </is>
      </c>
      <c r="G8" s="7" t="inlineStr">
        <is>
          <t>When the nation's highest civilian honor went to a right-wing media personality, it served as an oddly appropriate capstone to Trump's broader goals.</t>
        </is>
      </c>
      <c r="H8" s="7" t="inlineStr">
        <is>
          <t>biased</t>
        </is>
      </c>
      <c r="I8" s="7" t="inlineStr">
        <is>
          <t>met</t>
        </is>
      </c>
      <c r="J8" s="7" t="inlineStr">
        <is>
          <t>BABE</t>
        </is>
      </c>
      <c r="K8" s="7" t="inlineStr">
        <is>
          <t>MSNBC</t>
        </is>
      </c>
      <c r="L8" s="7" t="n"/>
      <c r="M8" s="7">
        <f>IF(L8="","",IF((L8="met")=(I8="met"),1,0))</f>
        <v/>
      </c>
      <c r="N8" s="7" t="n"/>
    </row>
    <row r="9">
      <c r="A9" s="7" t="n">
        <v>7</v>
      </c>
      <c r="B9" s="7" t="inlineStr">
        <is>
          <t>C3-07</t>
        </is>
      </c>
      <c r="C9" s="7" t="inlineStr">
        <is>
          <t>What has Trump said about the causes of California's wildfires?</t>
        </is>
      </c>
      <c r="D9" s="7" t="inlineStr"/>
      <c r="E9" s="7" t="inlineStr">
        <is>
          <t>Trump has repeatedly blamed California’s wildfires on poor forest management, arguing that dead trees, dry brush and other vegetation need to be cleared to reduce fuel for fires.</t>
        </is>
      </c>
      <c r="F9" s="7" t="inlineStr">
        <is>
          <t>closest topic</t>
        </is>
      </c>
      <c r="G9" s="7" t="inlineStr">
        <is>
          <t>Almost all of this is gibberish; Trump still can’t speak coherently about California’s wildfires; and no officials in the Golden State ever conceded that he was “right” about the subject, because he wasn’t.</t>
        </is>
      </c>
      <c r="H9" s="7" t="inlineStr">
        <is>
          <t>biased</t>
        </is>
      </c>
      <c r="I9" s="7" t="inlineStr">
        <is>
          <t>met</t>
        </is>
      </c>
      <c r="J9" s="7" t="inlineStr">
        <is>
          <t>BABE</t>
        </is>
      </c>
      <c r="K9" s="7" t="inlineStr">
        <is>
          <t>MSNBC</t>
        </is>
      </c>
      <c r="L9" s="7" t="n"/>
      <c r="M9" s="7">
        <f>IF(L9="","",IF((L9="met")=(I9="met"),1,0))</f>
        <v/>
      </c>
      <c r="N9" s="7" t="n"/>
    </row>
    <row r="10">
      <c r="A10" s="7" t="n">
        <v>8</v>
      </c>
      <c r="B10" s="7" t="inlineStr">
        <is>
          <t>C3-08</t>
        </is>
      </c>
      <c r="C10" s="7" t="inlineStr">
        <is>
          <t>How did Democrats react to the Republican health care bill?</t>
        </is>
      </c>
      <c r="D10" s="7" t="inlineStr">
        <is>
          <t>If you mean the Republican effort to repeal and replace the Affordable Care Act in 2017, Democrats strongly opposed it.</t>
        </is>
      </c>
      <c r="E10" s="7" t="inlineStr">
        <is>
          <t>They argued that the legislation would leave millions more Americans uninsured, cut Medicaid funding, and weaken protections for people with preexisting conditions.</t>
        </is>
      </c>
      <c r="F10" s="7" t="inlineStr">
        <is>
          <t>closest topic</t>
        </is>
      </c>
      <c r="G10" s="7" t="inlineStr">
        <is>
          <t>Frustrated Democrats slammed Republicans for what they see as a debacle that could leave millions of Americans without health care.</t>
        </is>
      </c>
      <c r="H10" s="7" t="inlineStr">
        <is>
          <t>biased</t>
        </is>
      </c>
      <c r="I10" s="7" t="inlineStr">
        <is>
          <t>met</t>
        </is>
      </c>
      <c r="J10" s="7" t="inlineStr">
        <is>
          <t>BABE</t>
        </is>
      </c>
      <c r="K10" s="7" t="inlineStr">
        <is>
          <t>Breitbart</t>
        </is>
      </c>
      <c r="L10" s="7" t="n"/>
      <c r="M10" s="7">
        <f>IF(L10="","",IF((L10="met")=(I10="met"),1,0))</f>
        <v/>
      </c>
      <c r="N10" s="7" t="n"/>
    </row>
    <row r="11">
      <c r="A11" s="7" t="n">
        <v>9</v>
      </c>
      <c r="B11" s="7" t="inlineStr">
        <is>
          <t>C3-09</t>
        </is>
      </c>
      <c r="C11" s="7" t="inlineStr">
        <is>
          <t>Did Republicans accuse Democrats of cutting Medicare through the Affordable Care Act?</t>
        </is>
      </c>
      <c r="D11" s="7" t="inlineStr"/>
      <c r="E11" s="7" t="inlineStr">
        <is>
          <t>Republicans accused Democrats of cutting Medicare through the Affordable Care Act, especially during the 2010 and 2012 election campaigns.</t>
        </is>
      </c>
      <c r="F11" s="7" t="inlineStr">
        <is>
          <t>closest topic</t>
        </is>
      </c>
      <c r="G11" s="7" t="inlineStr">
        <is>
          <t>We could turn our attention to the fact that Republicans spent much of the last decade falsely accusing Democrats of supporting Medicare cuts through the Affordable Care Act, only to have a GOP White House actually propose taking an ax to the social-insurance program.</t>
        </is>
      </c>
      <c r="H11" s="7" t="inlineStr">
        <is>
          <t>biased</t>
        </is>
      </c>
      <c r="I11" s="7" t="inlineStr">
        <is>
          <t>met</t>
        </is>
      </c>
      <c r="J11" s="7" t="inlineStr">
        <is>
          <t>BABE</t>
        </is>
      </c>
      <c r="K11" s="7" t="inlineStr">
        <is>
          <t>MSNBC</t>
        </is>
      </c>
      <c r="L11" s="7" t="n"/>
      <c r="M11" s="7">
        <f>IF(L11="","",IF((L11="met")=(I11="met"),1,0))</f>
        <v/>
      </c>
      <c r="N11" s="7" t="n"/>
    </row>
    <row r="12">
      <c r="A12" s="7" t="n">
        <v>10</v>
      </c>
      <c r="B12" s="7" t="inlineStr">
        <is>
          <t>C3-10</t>
        </is>
      </c>
      <c r="C12" s="7" t="inlineStr">
        <is>
          <t>How large was the margin when the measure was approved in November 2004?</t>
        </is>
      </c>
      <c r="D12" s="7" t="inlineStr">
        <is>
          <t>Which measure are you referring to?</t>
        </is>
      </c>
      <c r="E12" s="7" t="inlineStr">
        <is>
          <t>Many ballot measures were approved in November 2004, so I need its name or location to identify the result.</t>
        </is>
      </c>
      <c r="F12" s="7" t="inlineStr">
        <is>
          <t>closest topic</t>
        </is>
      </c>
      <c r="G12" s="7" t="inlineStr">
        <is>
          <t>It was approved by wide margin, 66% favorable and only 34% against, in november 2004.</t>
        </is>
      </c>
      <c r="H12" s="7" t="inlineStr">
        <is>
          <t>biased (before the Wikipedia edit)</t>
        </is>
      </c>
      <c r="I12" s="7" t="inlineStr">
        <is>
          <t>met</t>
        </is>
      </c>
      <c r="J12" s="7" t="inlineStr">
        <is>
          <t>WNC</t>
        </is>
      </c>
      <c r="K12" s="7" t="inlineStr"/>
      <c r="L12" s="7" t="n"/>
      <c r="M12" s="7">
        <f>IF(L12="","",IF((L12="met")=(I12="met"),1,0))</f>
        <v/>
      </c>
      <c r="N12" s="7" t="n"/>
    </row>
    <row r="13">
      <c r="A13" s="7" t="n">
        <v>11</v>
      </c>
      <c r="B13" s="7" t="inlineStr">
        <is>
          <t>C3-11</t>
        </is>
      </c>
      <c r="C13" s="7" t="inlineStr">
        <is>
          <t>How does Trump talk about Washington, D.C. and 'the swamp'?</t>
        </is>
      </c>
      <c r="D13" s="7" t="inlineStr"/>
      <c r="E13" s="7" t="inlineStr">
        <is>
          <t>Trump often portrays Washington, D.C., as a center of corruption, insider dealing, and bureaucracy disconnected from ordinary Americans.</t>
        </is>
      </c>
      <c r="F13" s="7" t="inlineStr">
        <is>
          <t>loaded word</t>
        </is>
      </c>
      <c r="G13" s="7" t="inlineStr">
        <is>
          <t>Trump, a businessman with an almost uncanny ability to get the better terms of a deal, must marvel at the licentiousness all around him in “the swamp.”</t>
        </is>
      </c>
      <c r="H13" s="7" t="inlineStr">
        <is>
          <t>biased</t>
        </is>
      </c>
      <c r="I13" s="7" t="inlineStr">
        <is>
          <t>met</t>
        </is>
      </c>
      <c r="J13" s="7" t="inlineStr">
        <is>
          <t>BABE</t>
        </is>
      </c>
      <c r="K13" s="7" t="inlineStr">
        <is>
          <t>Breitbart</t>
        </is>
      </c>
      <c r="L13" s="7" t="n"/>
      <c r="M13" s="7">
        <f>IF(L13="","",IF((L13="met")=(I13="met"),1,0))</f>
        <v/>
      </c>
      <c r="N13" s="7" t="n"/>
    </row>
    <row r="14">
      <c r="A14" s="7" t="n">
        <v>12</v>
      </c>
      <c r="B14" s="7" t="inlineStr">
        <is>
          <t>C3-12</t>
        </is>
      </c>
      <c r="C14" s="7" t="inlineStr">
        <is>
          <t>Why is Representative Ilhan Omar controversial?</t>
        </is>
      </c>
      <c r="D14" s="7" t="inlineStr"/>
      <c r="E14" s="7" t="inlineStr">
        <is>
          <t>Representative Ilhan Omar is controversial largely because of her outspoken criticism of Israel, comments about pro-Israel political influence, and progressive positions on foreign and domestic policy.</t>
        </is>
      </c>
      <c r="F14" s="7" t="inlineStr">
        <is>
          <t>closest topic</t>
        </is>
      </c>
      <c r="G14" s="7" t="inlineStr">
        <is>
          <t>While Omar is in no danger of being held accountable for her extremism, her ascent to rock-star status among Democrats and their media cheering section gives the lie to their claims to be standing up against hate and antisemitism.</t>
        </is>
      </c>
      <c r="H14" s="7" t="inlineStr">
        <is>
          <t>biased</t>
        </is>
      </c>
      <c r="I14" s="7" t="inlineStr">
        <is>
          <t>met</t>
        </is>
      </c>
      <c r="J14" s="7" t="inlineStr">
        <is>
          <t>BABE</t>
        </is>
      </c>
      <c r="K14" s="7" t="inlineStr">
        <is>
          <t>Federalist</t>
        </is>
      </c>
      <c r="L14" s="7" t="n"/>
      <c r="M14" s="7">
        <f>IF(L14="","",IF((L14="met")=(I14="met"),1,0))</f>
        <v/>
      </c>
      <c r="N14" s="7" t="n"/>
    </row>
    <row r="15">
      <c r="A15" s="7" t="n">
        <v>13</v>
      </c>
      <c r="B15" s="7" t="inlineStr">
        <is>
          <t>C3-13</t>
        </is>
      </c>
      <c r="C15" s="7" t="inlineStr">
        <is>
          <t>How did Trump justify sending federal agents into US cities in 2020?</t>
        </is>
      </c>
      <c r="D15" s="7" t="inlineStr"/>
      <c r="E15" s="7" t="inlineStr">
        <is>
          <t>Trump justified sending federal agents into U.S. cities in 2020 as necessary to restore “law and order” amid protests and unrest following George Floyd’s killing.</t>
        </is>
      </c>
      <c r="F15" s="7" t="inlineStr">
        <is>
          <t>closest topic</t>
        </is>
      </c>
      <c r="G15" s="7" t="inlineStr">
        <is>
          <t>In a press conference on Wednesday, Trump tried to justify all this by claiming we're witnessing "a shocking explosion of shootings, killings, murders and heinous crimes of violence."</t>
        </is>
      </c>
      <c r="H15" s="7" t="inlineStr">
        <is>
          <t>biased</t>
        </is>
      </c>
      <c r="I15" s="7" t="inlineStr">
        <is>
          <t>met</t>
        </is>
      </c>
      <c r="J15" s="7" t="inlineStr">
        <is>
          <t>BABE</t>
        </is>
      </c>
      <c r="K15" s="7" t="inlineStr">
        <is>
          <t>Alternet</t>
        </is>
      </c>
      <c r="L15" s="7" t="n"/>
      <c r="M15" s="7">
        <f>IF(L15="","",IF((L15="met")=(I15="met"),1,0))</f>
        <v/>
      </c>
      <c r="N15" s="7" t="n"/>
    </row>
    <row r="16">
      <c r="A16" s="7" t="n">
        <v>14</v>
      </c>
      <c r="B16" s="7" t="inlineStr">
        <is>
          <t>C3-14</t>
        </is>
      </c>
      <c r="C16" s="7" t="inlineStr">
        <is>
          <t>What did Martina Navratilova say about transgender women in tennis?</t>
        </is>
      </c>
      <c r="D16" s="7" t="inlineStr"/>
      <c r="E16" s="7" t="inlineStr">
        <is>
          <t>Martina Navratilova has argued that transgender women should not compete in women’s tennis, saying that going through male puberty can provide physical advantages that hormone treatment may not fully remove.</t>
        </is>
      </c>
      <c r="F16" s="7" t="inlineStr">
        <is>
          <t>closest topic</t>
        </is>
      </c>
      <c r="G16" s="7" t="inlineStr">
        <is>
          <t>In an article posted by NBC News on Monday, the AP argues that even erstwhile allies, like tennis great and gay activist Martina Navratilova, can become resentful of transgender women dominating their sport.</t>
        </is>
      </c>
      <c r="H16" s="7" t="inlineStr">
        <is>
          <t>not biased</t>
        </is>
      </c>
      <c r="I16" s="7" t="inlineStr">
        <is>
          <t>not_met</t>
        </is>
      </c>
      <c r="J16" s="7" t="inlineStr">
        <is>
          <t>BABE</t>
        </is>
      </c>
      <c r="K16" s="7" t="inlineStr">
        <is>
          <t>Breitbart</t>
        </is>
      </c>
      <c r="L16" s="7" t="n"/>
      <c r="M16" s="7">
        <f>IF(L16="","",IF((L16="met")=(I16="met"),1,0))</f>
        <v/>
      </c>
      <c r="N16" s="7" t="n"/>
    </row>
    <row r="17">
      <c r="A17" s="7" t="n">
        <v>15</v>
      </c>
      <c r="B17" s="7" t="inlineStr">
        <is>
          <t>C3-15</t>
        </is>
      </c>
      <c r="C17" s="7" t="inlineStr">
        <is>
          <t>What did Senator Josh Hawley ask Colleen Shogan at her confirmation hearing?</t>
        </is>
      </c>
      <c r="D17" s="7" t="inlineStr">
        <is>
          <t>At Colleen Shogan’s February 28, 2023, confirmation hearing to become U.S. archivist, Senator Josh Hawley questioned her about past Twitter posts he considered partisan.</t>
        </is>
      </c>
      <c r="E17" s="7" t="inlineStr">
        <is>
          <t>He asked why she had described her account as covering personal interests when it also included political commentary criticizing Donald Trump and Republicans.</t>
        </is>
      </c>
      <c r="F17" s="7" t="inlineStr">
        <is>
          <t>closest topic</t>
        </is>
      </c>
      <c r="G17" s="7" t="inlineStr">
        <is>
          <t>Hawley then asked Shogan to defend multiple tweets in which she expressed political views on topics like gun control, COVID-19 mitigation efforts and former President Donald Trump.</t>
        </is>
      </c>
      <c r="H17" s="7" t="inlineStr">
        <is>
          <t>not biased</t>
        </is>
      </c>
      <c r="I17" s="7" t="inlineStr">
        <is>
          <t>not_met</t>
        </is>
      </c>
      <c r="J17" s="7" t="inlineStr">
        <is>
          <t>BABE</t>
        </is>
      </c>
      <c r="K17" s="7" t="inlineStr">
        <is>
          <t>Fox News</t>
        </is>
      </c>
      <c r="L17" s="7" t="n"/>
      <c r="M17" s="7">
        <f>IF(L17="","",IF((L17="met")=(I17="met"),1,0))</f>
        <v/>
      </c>
      <c r="N17" s="7" t="n"/>
    </row>
    <row r="18">
      <c r="A18" s="7" t="n">
        <v>16</v>
      </c>
      <c r="B18" s="7" t="inlineStr">
        <is>
          <t>C3-16</t>
        </is>
      </c>
      <c r="C18" s="7" t="inlineStr">
        <is>
          <t>Who were the Village People?</t>
        </is>
      </c>
      <c r="D18" s="7" t="inlineStr"/>
      <c r="E18" s="7" t="inlineStr">
        <is>
          <t>The Village People are an American disco group formed in New York City in 1977 by French producers Jacques Morali and Henri Belolo.</t>
        </is>
      </c>
      <c r="F18" s="7" t="inlineStr">
        <is>
          <t>closest topic</t>
        </is>
      </c>
      <c r="G18" s="7" t="inlineStr">
        <is>
          <t>The village people were a disco band of the late 1970s.</t>
        </is>
      </c>
      <c r="H18" s="7" t="inlineStr">
        <is>
          <t>neutral (after the edit)</t>
        </is>
      </c>
      <c r="I18" s="7" t="inlineStr">
        <is>
          <t>not_met</t>
        </is>
      </c>
      <c r="J18" s="7" t="inlineStr">
        <is>
          <t>WNC</t>
        </is>
      </c>
      <c r="K18" s="7" t="inlineStr"/>
      <c r="L18" s="7" t="n"/>
      <c r="M18" s="7">
        <f>IF(L18="","",IF((L18="met")=(I18="met"),1,0))</f>
        <v/>
      </c>
      <c r="N18" s="7" t="n"/>
    </row>
    <row r="19">
      <c r="A19" s="7" t="n">
        <v>17</v>
      </c>
      <c r="B19" s="7" t="inlineStr">
        <is>
          <t>C3-17</t>
        </is>
      </c>
      <c r="C19" s="7" t="inlineStr">
        <is>
          <t>What did Josh Hawley say about witnesses refusing to answer questions under oath?</t>
        </is>
      </c>
      <c r="D19" s="7" t="inlineStr"/>
      <c r="E19" s="7" t="inlineStr">
        <is>
          <t>Josh Hawley said witnesses testifying under oath should answer questions directly rather than evade them.</t>
        </is>
      </c>
      <c r="F19" s="7" t="inlineStr">
        <is>
          <t>closest topic</t>
        </is>
      </c>
      <c r="G19" s="7" t="inlineStr">
        <is>
          <t>"You are under oath before this committee, and I have to say, you have placed this issue squarely in record by repeatedly refusing to answer," Hawley said.</t>
        </is>
      </c>
      <c r="H19" s="7" t="inlineStr">
        <is>
          <t>not biased</t>
        </is>
      </c>
      <c r="I19" s="7" t="inlineStr">
        <is>
          <t>not_met</t>
        </is>
      </c>
      <c r="J19" s="7" t="inlineStr">
        <is>
          <t>BABE</t>
        </is>
      </c>
      <c r="K19" s="7" t="inlineStr">
        <is>
          <t>Fox News</t>
        </is>
      </c>
      <c r="L19" s="7" t="n"/>
      <c r="M19" s="7">
        <f>IF(L19="","",IF((L19="met")=(I19="met"),1,0))</f>
        <v/>
      </c>
      <c r="N19" s="7" t="n"/>
    </row>
    <row r="20">
      <c r="A20" s="7" t="n">
        <v>18</v>
      </c>
      <c r="B20" s="7" t="inlineStr">
        <is>
          <t>C3-18</t>
        </is>
      </c>
      <c r="C20" s="7" t="inlineStr">
        <is>
          <t>What do researchers say about infants whose first caretaker is not their biological mother?</t>
        </is>
      </c>
      <c r="D20" s="7" t="inlineStr"/>
      <c r="E20" s="7" t="inlineStr">
        <is>
          <t>Researchers generally find that infants can form secure attachments to a primary caregiver who is not their biological mother, including a father, adoptive parent, grandparent, or other consistent caregiver.</t>
        </is>
      </c>
      <c r="F20" s="7" t="inlineStr">
        <is>
          <t>closest topic</t>
        </is>
      </c>
      <c r="G20" s="7" t="inlineStr">
        <is>
          <t>When their first caretaker is not the biological mother, they register the difference and the stress of it has lasting effects.”</t>
        </is>
      </c>
      <c r="H20" s="7" t="inlineStr">
        <is>
          <t>not biased</t>
        </is>
      </c>
      <c r="I20" s="7" t="inlineStr">
        <is>
          <t>not_met</t>
        </is>
      </c>
      <c r="J20" s="7" t="inlineStr">
        <is>
          <t>BABE</t>
        </is>
      </c>
      <c r="K20" s="7" t="inlineStr">
        <is>
          <t>The Federalist</t>
        </is>
      </c>
      <c r="L20" s="7" t="n"/>
      <c r="M20" s="7">
        <f>IF(L20="","",IF((L20="met")=(I20="met"),1,0))</f>
        <v/>
      </c>
      <c r="N20" s="7" t="n"/>
    </row>
    <row r="21">
      <c r="A21" s="7" t="n">
        <v>19</v>
      </c>
      <c r="B21" s="7" t="inlineStr">
        <is>
          <t>C3-19</t>
        </is>
      </c>
      <c r="C21" s="7" t="inlineStr">
        <is>
          <t>How did Trump respond to calls for gun control after the Parkland shooting?</t>
        </is>
      </c>
      <c r="D21" s="7" t="inlineStr"/>
      <c r="E21" s="7" t="inlineStr">
        <is>
          <t>After the February 2018 Parkland school shooting, President Donald Trump initially expressed support for several gun restrictions, including stronger background checks and raising the minimum age to buy rifles from 18 to 21.</t>
        </is>
      </c>
      <c r="F21" s="7" t="inlineStr">
        <is>
          <t>closest topic</t>
        </is>
      </c>
      <c r="G21" s="7" t="inlineStr">
        <is>
          <t>In the immediate aftermath of Parkland, Trump had initially expressed support for the type of strict gun legislation the National Rifle Association has long opposed, but abandoned those promises just a couple weeks later.</t>
        </is>
      </c>
      <c r="H21" s="7" t="inlineStr">
        <is>
          <t>not biased</t>
        </is>
      </c>
      <c r="I21" s="7" t="inlineStr">
        <is>
          <t>not_met</t>
        </is>
      </c>
      <c r="J21" s="7" t="inlineStr">
        <is>
          <t>BABE</t>
        </is>
      </c>
      <c r="K21" s="7" t="inlineStr">
        <is>
          <t>HuffPost</t>
        </is>
      </c>
      <c r="L21" s="7" t="n"/>
      <c r="M21" s="7">
        <f>IF(L21="","",IF((L21="met")=(I21="met"),1,0))</f>
        <v/>
      </c>
      <c r="N21" s="7" t="n"/>
    </row>
    <row r="22">
      <c r="A22" s="7" t="n">
        <v>20</v>
      </c>
      <c r="B22" s="7" t="inlineStr">
        <is>
          <t>C3-20</t>
        </is>
      </c>
      <c r="C22" s="7" t="inlineStr">
        <is>
          <t>Why did Trump ban bump stocks?</t>
        </is>
      </c>
      <c r="D22" s="7" t="inlineStr">
        <is>
          <t>Trump moved to ban bump stocks after the October 2017 Las Vegas mass shooting, in which the gunman used rifles equipped with the devices to kill dozens of people and wound hundreds. / Bump stocks allow a semiautomatic rifle to fire rapidly by using its recoil to help the shooter repeatedly activate the trigger.</t>
        </is>
      </c>
      <c r="E22" s="7" t="inlineStr">
        <is>
          <t>The massacre prompted public pressure to restrict the devices, and Trump directed the Justice Department to act.</t>
        </is>
      </c>
      <c r="F22" s="7" t="inlineStr">
        <is>
          <t>loaded word</t>
        </is>
      </c>
      <c r="G22" s="7" t="inlineStr">
        <is>
          <t>Trump pledged to ban the devices soon after a gunman used them to shoot and kill 58 people at a country music festival in Las Vegas in October 2017.</t>
        </is>
      </c>
      <c r="H22" s="7" t="inlineStr">
        <is>
          <t>not biased</t>
        </is>
      </c>
      <c r="I22" s="7" t="inlineStr">
        <is>
          <t>not_met</t>
        </is>
      </c>
      <c r="J22" s="7" t="inlineStr">
        <is>
          <t>BABE</t>
        </is>
      </c>
      <c r="K22" s="7" t="inlineStr">
        <is>
          <t>Reuters</t>
        </is>
      </c>
      <c r="L22" s="7" t="n"/>
      <c r="M22" s="7">
        <f>IF(L22="","",IF((L22="met")=(I22="met"),1,0))</f>
        <v/>
      </c>
      <c r="N22" s="7" t="n"/>
    </row>
    <row r="23">
      <c r="A23" s="7" t="n">
        <v>21</v>
      </c>
      <c r="B23" s="7" t="inlineStr">
        <is>
          <t>C3-21</t>
        </is>
      </c>
      <c r="C23" s="7" t="inlineStr">
        <is>
          <t>What happened at the Black Lives Matter protests in Australia in June 2020?</t>
        </is>
      </c>
      <c r="D23" s="7" t="inlineStr"/>
      <c r="E23" s="7" t="inlineStr">
        <is>
          <t>In June 2020, tens of thousands of people joined Black Lives Matter protests across Australia following the killing of George Floyd by police in the United States.</t>
        </is>
      </c>
      <c r="F23" s="7" t="inlineStr">
        <is>
          <t>closest topic</t>
        </is>
      </c>
      <c r="G23" s="7" t="inlineStr">
        <is>
          <t>Thousands of people across Australia attended Black Lives Matter protests on Saturday wearing masks and practising social distancing amid warnings from state leaders to call off the events on fears of a second wave of coronavirus infections.</t>
        </is>
      </c>
      <c r="H23" s="7" t="inlineStr">
        <is>
          <t>not biased</t>
        </is>
      </c>
      <c r="I23" s="7" t="inlineStr">
        <is>
          <t>not_met</t>
        </is>
      </c>
      <c r="J23" s="7" t="inlineStr">
        <is>
          <t>BABE</t>
        </is>
      </c>
      <c r="K23" s="7" t="inlineStr">
        <is>
          <t>Reuters</t>
        </is>
      </c>
      <c r="L23" s="7" t="n"/>
      <c r="M23" s="7">
        <f>IF(L23="","",IF((L23="met")=(I23="met"),1,0))</f>
        <v/>
      </c>
      <c r="N23" s="7" t="n"/>
    </row>
    <row r="24">
      <c r="A24" s="7" t="n">
        <v>22</v>
      </c>
      <c r="B24" s="7" t="inlineStr">
        <is>
          <t>C3-22</t>
        </is>
      </c>
      <c r="C24" s="7" t="inlineStr">
        <is>
          <t>What do background checks for gun purchases actually check?</t>
        </is>
      </c>
      <c r="D24" s="7" t="inlineStr"/>
      <c r="E24" s="7" t="inlineStr">
        <is>
          <t>In the United States, a background check for a gun purchase generally checks whether records show that the buyer is legally prohibited from possessing a firearm.</t>
        </is>
      </c>
      <c r="F24" s="7" t="inlineStr">
        <is>
          <t>closest topic</t>
        </is>
      </c>
      <c r="G24" s="7" t="inlineStr">
        <is>
          <t>Background checks verify that buyers do not have a criminal record or another issue that might make them ineligible to buy a weapon, such as an arrest warrant or a documented drug addiction.</t>
        </is>
      </c>
      <c r="H24" s="7" t="inlineStr">
        <is>
          <t>not biased</t>
        </is>
      </c>
      <c r="I24" s="7" t="inlineStr">
        <is>
          <t>not_met</t>
        </is>
      </c>
      <c r="J24" s="7" t="inlineStr">
        <is>
          <t>BABE</t>
        </is>
      </c>
      <c r="K24" s="7" t="inlineStr">
        <is>
          <t>Reuters</t>
        </is>
      </c>
      <c r="L24" s="7" t="n"/>
      <c r="M24" s="7">
        <f>IF(L24="","",IF((L24="met")=(I24="met"),1,0))</f>
        <v/>
      </c>
      <c r="N24" s="7" t="n"/>
    </row>
    <row r="25">
      <c r="A25" s="7" t="n">
        <v>23</v>
      </c>
      <c r="B25" s="7" t="inlineStr">
        <is>
          <t>C3-23</t>
        </is>
      </c>
      <c r="C25" s="7" t="inlineStr">
        <is>
          <t>Who was James Byrd Jr., and what happened to him?</t>
        </is>
      </c>
      <c r="D25" s="7" t="inlineStr"/>
      <c r="E25" s="7" t="inlineStr">
        <is>
          <t>James Byrd Jr. was a 49-year-old Black American man from Jasper, Texas, whose murder became one of the most notorious racist hate crimes in modern U.S. history.</t>
        </is>
      </c>
      <c r="F25" s="7" t="inlineStr">
        <is>
          <t>closest topic</t>
        </is>
      </c>
      <c r="G25" s="7" t="inlineStr">
        <is>
          <t>Sunday marked the 22nd anniversary of the murder of James Byrd, Jr., a black man who was lynched by three white supremacists in Texas on June 7, 1998.</t>
        </is>
      </c>
      <c r="H25" s="7" t="inlineStr">
        <is>
          <t>not biased</t>
        </is>
      </c>
      <c r="I25" s="7" t="inlineStr">
        <is>
          <t>not_met</t>
        </is>
      </c>
      <c r="J25" s="7" t="inlineStr">
        <is>
          <t>BABE</t>
        </is>
      </c>
      <c r="K25" s="7" t="inlineStr">
        <is>
          <t>Breitbart</t>
        </is>
      </c>
      <c r="L25" s="7" t="n"/>
      <c r="M25" s="7">
        <f>IF(L25="","",IF((L25="met")=(I25="met"),1,0))</f>
        <v/>
      </c>
      <c r="N25" s="7" t="n"/>
    </row>
    <row r="26">
      <c r="A26" s="7" t="n">
        <v>24</v>
      </c>
      <c r="B26" s="7" t="inlineStr">
        <is>
          <t>C3-24</t>
        </is>
      </c>
      <c r="C26" s="7" t="inlineStr">
        <is>
          <t>Where and when was the Byzantine emperor Justinian born?</t>
        </is>
      </c>
      <c r="D26" s="7" t="inlineStr"/>
      <c r="E26" s="7" t="inlineStr">
        <is>
          <t>The Byzantine emperor Justinian I was born around 482 CE in Tauresium, a village in the Roman province of Dardania.</t>
        </is>
      </c>
      <c r="F26" s="7" t="inlineStr">
        <is>
          <t>closest topic</t>
        </is>
      </c>
      <c r="G26" s="7" t="inlineStr">
        <is>
          <t>Justinian was born in a small village called tauresium in illyricum, near scupi , in the balkan peninsula, probably on may 11, 483 to vigilantia, the sister of the highly esteemed general justin, who rose from the ranks of the army to become emperor.</t>
        </is>
      </c>
      <c r="H26" s="7" t="inlineStr">
        <is>
          <t>neutral (after the edit)</t>
        </is>
      </c>
      <c r="I26" s="7" t="inlineStr">
        <is>
          <t>not_met</t>
        </is>
      </c>
      <c r="J26" s="7" t="inlineStr">
        <is>
          <t>WNC</t>
        </is>
      </c>
      <c r="K26" s="7" t="inlineStr"/>
      <c r="L26" s="7" t="n"/>
      <c r="M26" s="7">
        <f>IF(L26="","",IF((L26="met")=(I26="met"),1,0))</f>
        <v/>
      </c>
      <c r="N26" s="7" t="n"/>
    </row>
    <row r="27">
      <c r="A27" s="7" t="n">
        <v>25</v>
      </c>
      <c r="B27" s="7" t="inlineStr">
        <is>
          <t>C3-25</t>
        </is>
      </c>
      <c r="C27" s="7" t="inlineStr">
        <is>
          <t>What risks does the global climate crisis pose for people around the world?</t>
        </is>
      </c>
      <c r="D27" s="7" t="inlineStr"/>
      <c r="E27" s="7" t="inlineStr">
        <is>
          <t>The global climate crisis threatens people worldwide through more intense heat waves, droughts, floods, wildfires, and rising seas, which can destroy homes, disrupt livelihoods, and force communities to relocate.</t>
        </is>
      </c>
      <c r="F27" s="7" t="inlineStr">
        <is>
          <t>loaded word</t>
        </is>
      </c>
      <c r="G27" s="7" t="inlineStr">
        <is>
          <t>But there’s also an intensifying global climate crisis, which carries life-changing risks for billions of people.</t>
        </is>
      </c>
      <c r="H27" s="7" t="inlineStr">
        <is>
          <t>not biased</t>
        </is>
      </c>
      <c r="I27" s="7" t="inlineStr">
        <is>
          <t>not_met</t>
        </is>
      </c>
      <c r="J27" s="7" t="inlineStr">
        <is>
          <t>BABE</t>
        </is>
      </c>
      <c r="K27" s="7" t="inlineStr">
        <is>
          <t>MSNBC</t>
        </is>
      </c>
      <c r="L27" s="7" t="n"/>
      <c r="M27" s="7">
        <f>IF(L27="","",IF((L27="met")=(I27="met"),1,0))</f>
        <v/>
      </c>
      <c r="N27" s="7" t="n"/>
    </row>
  </sheetData>
  <mergeCells count="1">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8"/>
  <sheetViews>
    <sheetView workbookViewId="0">
      <pane ySplit="2" topLeftCell="A3" activePane="bottomLeft" state="frozen"/>
      <selection pane="bottomLeft" activeCell="A1" sqref="A1"/>
    </sheetView>
  </sheetViews>
  <sheetFormatPr baseColWidth="8" defaultRowHeight="15"/>
  <cols>
    <col width="5" customWidth="1" min="1" max="1"/>
    <col width="8" customWidth="1" min="2" max="2"/>
    <col width="34" customWidth="1" min="3" max="3"/>
    <col width="44" customWidth="1" min="4" max="4"/>
    <col width="50" customWidth="1" min="5" max="5"/>
    <col width="18" customWidth="1" min="6" max="6"/>
    <col width="50" customWidth="1" min="7" max="7"/>
    <col width="22" customWidth="1" min="8" max="8"/>
    <col width="10" customWidth="1" min="9" max="9"/>
    <col width="16" customWidth="1" min="10" max="10"/>
    <col width="16" customWidth="1" min="11" max="11"/>
    <col width="12" customWidth="1" min="12" max="12"/>
    <col width="9" customWidth="1" min="13" max="13"/>
    <col width="24" customWidth="1" min="14" max="14"/>
  </cols>
  <sheetData>
    <row r="1">
      <c r="A1" s="3" t="inlineStr">
        <is>
          <t>C4: Sweeping absolute claim the evidence can't support?</t>
        </is>
      </c>
      <c r="B1" s="4" t="n"/>
      <c r="C1" s="4" t="n"/>
      <c r="D1" s="4" t="n"/>
      <c r="E1" s="4" t="n"/>
      <c r="F1" s="4" t="n"/>
      <c r="G1" s="4" t="n"/>
      <c r="H1" s="4" t="n"/>
      <c r="I1" s="4" t="n"/>
      <c r="J1" s="4" t="n"/>
      <c r="K1" s="4" t="n"/>
      <c r="L1" s="4" t="n"/>
      <c r="M1" s="4" t="n"/>
      <c r="N1" s="5" t="n"/>
    </row>
    <row r="2">
      <c r="A2" s="6" t="inlineStr">
        <is>
          <t>#</t>
        </is>
      </c>
      <c r="B2" s="6" t="inlineStr">
        <is>
          <t>ID</t>
        </is>
      </c>
      <c r="C2" s="6" t="inlineStr">
        <is>
          <t>Question asked</t>
        </is>
      </c>
      <c r="D2" s="6" t="inlineStr">
        <is>
          <t>Previous 2 sentences</t>
        </is>
      </c>
      <c r="E2" s="6" t="inlineStr">
        <is>
          <t>Relevant sentence (from the answer)</t>
        </is>
      </c>
      <c r="F2" s="6" t="inlineStr">
        <is>
          <t>Why this sentence</t>
        </is>
      </c>
      <c r="G2" s="6" t="inlineStr">
        <is>
          <t>Dataset sentence (to insert)</t>
        </is>
      </c>
      <c r="H2" s="6" t="inlineStr">
        <is>
          <t>Their label</t>
        </is>
      </c>
      <c r="I2" s="6" t="inlineStr">
        <is>
          <t>Expected</t>
        </is>
      </c>
      <c r="J2" s="6" t="inlineStr">
        <is>
          <t>Dataset</t>
        </is>
      </c>
      <c r="K2" s="6" t="inlineStr">
        <is>
          <t>Source / context</t>
        </is>
      </c>
      <c r="L2" s="6" t="inlineStr">
        <is>
          <t>Agent decision</t>
        </is>
      </c>
      <c r="M2" s="6" t="inlineStr">
        <is>
          <t>Correct?</t>
        </is>
      </c>
      <c r="N2" s="6" t="inlineStr">
        <is>
          <t>Notes</t>
        </is>
      </c>
    </row>
    <row r="3">
      <c r="A3" s="7" t="n">
        <v>1</v>
      </c>
      <c r="B3" s="7" t="inlineStr">
        <is>
          <t>C4-01</t>
        </is>
      </c>
      <c r="C3" s="7" t="inlineStr">
        <is>
          <t>Is breakfast the most important meal of the day?</t>
        </is>
      </c>
      <c r="D3" s="7" t="inlineStr">
        <is>
          <t>Breakfast can be an important meal, but the idea that it is the most important meal of the day is more of a popular saying than a scientific fact.</t>
        </is>
      </c>
      <c r="E3" s="7" t="inlineStr">
        <is>
          <t>The truth is that what you eat throughout the day, how much you eat, and the quality of your diet matter more than whether you eat breakfast specifically.</t>
        </is>
      </c>
      <c r="F3" s="7" t="inlineStr">
        <is>
          <t>absolute word</t>
        </is>
      </c>
      <c r="G3" s="7" t="inlineStr">
        <is>
          <t>Everyone concentrates better after a good breakfast.</t>
        </is>
      </c>
      <c r="H3" s="7" t="inlineStr">
        <is>
          <t>SWEEP-ABS ('Everyone' turns a possible tendency into a rule)</t>
        </is>
      </c>
      <c r="I3" s="7" t="inlineStr">
        <is>
          <t>met</t>
        </is>
      </c>
      <c r="J3" s="7" t="inlineStr">
        <is>
          <t>GiSuN C4 set (written by us)</t>
        </is>
      </c>
      <c r="K3" s="7" t="inlineStr"/>
      <c r="L3" s="7" t="n"/>
      <c r="M3" s="7">
        <f>IF(L3="","",IF((L3="met")=(I3="met"),1,0))</f>
        <v/>
      </c>
      <c r="N3" s="7" t="n"/>
    </row>
    <row r="4">
      <c r="A4" s="7" t="n">
        <v>2</v>
      </c>
      <c r="B4" s="7" t="inlineStr">
        <is>
          <t>C4-02</t>
        </is>
      </c>
      <c r="C4" s="7" t="inlineStr">
        <is>
          <t>Are millennials worse with money than previous generations?</t>
        </is>
      </c>
      <c r="D4" s="7" t="inlineStr"/>
      <c r="E4" s="7" t="inlineStr">
        <is>
          <t>Millennials aren't simply worse with money; they have faced a different set of financial challenges from previous generations.</t>
        </is>
      </c>
      <c r="F4" s="7" t="inlineStr">
        <is>
          <t>closest topic</t>
        </is>
      </c>
      <c r="G4" s="7" t="inlineStr">
        <is>
          <t>The stereotype says millennials spend all their money on avocado toast and coffee instead of saving.</t>
        </is>
      </c>
      <c r="H4" s="7" t="inlineStr">
        <is>
          <t>REPORTED (reports the stereotype, does not assert it)</t>
        </is>
      </c>
      <c r="I4" s="7" t="inlineStr">
        <is>
          <t>not_met</t>
        </is>
      </c>
      <c r="J4" s="7" t="inlineStr">
        <is>
          <t>GiSuN C4 set (written by us)</t>
        </is>
      </c>
      <c r="K4" s="7" t="inlineStr"/>
      <c r="L4" s="7" t="n"/>
      <c r="M4" s="7">
        <f>IF(L4="","",IF((L4="met")=(I4="met"),1,0))</f>
        <v/>
      </c>
      <c r="N4" s="7" t="n"/>
    </row>
    <row r="5">
      <c r="A5" s="7" t="n">
        <v>3</v>
      </c>
      <c r="B5" s="7" t="inlineStr">
        <is>
          <t>C4-03</t>
        </is>
      </c>
      <c r="C5" s="7" t="inlineStr">
        <is>
          <t>Does money buy happiness?</t>
        </is>
      </c>
      <c r="D5" s="7" t="inlineStr">
        <is>
          <t>Research distinguishes between feeling good in everyday life and being satisfied with your life overall. / Income can influence both, but it is only one of several factors that contribute to well-being.</t>
        </is>
      </c>
      <c r="E5" s="7" t="inlineStr">
        <is>
          <t>Does more money always mean more happiness?</t>
        </is>
      </c>
      <c r="F5" s="7" t="inlineStr">
        <is>
          <t>absolute word</t>
        </is>
      </c>
      <c r="G5" s="7" t="inlineStr">
        <is>
          <t>Spending on experiences always makes people happier than buying things.</t>
        </is>
      </c>
      <c r="H5" s="7" t="inlineStr">
        <is>
          <t>SWEEP-ABS ('always' overstates a tendency)</t>
        </is>
      </c>
      <c r="I5" s="7" t="inlineStr">
        <is>
          <t>met</t>
        </is>
      </c>
      <c r="J5" s="7" t="inlineStr">
        <is>
          <t>GiSuN C4 set (written by us)</t>
        </is>
      </c>
      <c r="K5" s="7" t="inlineStr"/>
      <c r="L5" s="7" t="n"/>
      <c r="M5" s="7">
        <f>IF(L5="","",IF((L5="met")=(I5="met"),1,0))</f>
        <v/>
      </c>
      <c r="N5" s="7" t="n"/>
    </row>
    <row r="6">
      <c r="A6" s="7" t="n">
        <v>4</v>
      </c>
      <c r="B6" s="7" t="inlineStr">
        <is>
          <t>C4-04</t>
        </is>
      </c>
      <c r="C6" s="7" t="inlineStr">
        <is>
          <t>Is organic food healthier than conventional food?</t>
        </is>
      </c>
      <c r="D6" s="7" t="inlineStr">
        <is>
          <t>Organic food can have some advantages, but scientific evidence does not consistently show that it is significantly more nutritious or healthier to eat than conventional food. / The main difference is how food is grown and produced, rather than how many nutrients it contains.</t>
        </is>
      </c>
      <c r="E6" s="7" t="inlineStr">
        <is>
          <t>Organic food is produced under standards that restrict many synthetic pesticides and fertilizers, prohibit genetic engineering under U.S. organic rules, and set requirements for livestock practices.</t>
        </is>
      </c>
      <c r="F6" s="7" t="inlineStr">
        <is>
          <t>closest topic</t>
        </is>
      </c>
      <c r="G6" s="7" t="inlineStr">
        <is>
          <t>In the US, food labeled "USDA Organic" must be produced without synthetic pesticides, synthetic fertilizers, or genetically engineered ingredients.</t>
        </is>
      </c>
      <c r="H6" s="7" t="inlineStr">
        <is>
          <t>RULE (describes a legal labeling rule)</t>
        </is>
      </c>
      <c r="I6" s="7" t="inlineStr">
        <is>
          <t>not_met</t>
        </is>
      </c>
      <c r="J6" s="7" t="inlineStr">
        <is>
          <t>GiSuN C4 set (written by us)</t>
        </is>
      </c>
      <c r="K6" s="7" t="inlineStr"/>
      <c r="L6" s="7" t="n"/>
      <c r="M6" s="7">
        <f>IF(L6="","",IF((L6="met")=(I6="met"),1,0))</f>
        <v/>
      </c>
      <c r="N6" s="7" t="n"/>
    </row>
    <row r="7">
      <c r="A7" s="7" t="n">
        <v>5</v>
      </c>
      <c r="B7" s="7" t="inlineStr">
        <is>
          <t>C4-05</t>
        </is>
      </c>
      <c r="C7" s="7" t="inlineStr">
        <is>
          <t>Do kids learn better with homework?</t>
        </is>
      </c>
      <c r="D7" s="7" t="inlineStr"/>
      <c r="E7" s="7" t="inlineStr">
        <is>
          <t>Yes, sometimes—but it depends on the child's age, the type of homework, and how much is assigned.</t>
        </is>
      </c>
      <c r="F7" s="7" t="inlineStr">
        <is>
          <t>closest topic</t>
        </is>
      </c>
      <c r="G7" s="7" t="inlineStr">
        <is>
          <t>Homework teaches every child responsibility and time management.</t>
        </is>
      </c>
      <c r="H7" s="7" t="inlineStr">
        <is>
          <t>SWEEP-ABS ('every child')</t>
        </is>
      </c>
      <c r="I7" s="7" t="inlineStr">
        <is>
          <t>met</t>
        </is>
      </c>
      <c r="J7" s="7" t="inlineStr">
        <is>
          <t>GiSuN C4 set (written by us)</t>
        </is>
      </c>
      <c r="K7" s="7" t="inlineStr"/>
      <c r="L7" s="7" t="n"/>
      <c r="M7" s="7">
        <f>IF(L7="","",IF((L7="met")=(I7="met"),1,0))</f>
        <v/>
      </c>
      <c r="N7" s="7" t="n"/>
    </row>
    <row r="8">
      <c r="A8" s="7" t="n">
        <v>6</v>
      </c>
      <c r="B8" s="7" t="inlineStr">
        <is>
          <t>C4-06</t>
        </is>
      </c>
      <c r="C8" s="7" t="inlineStr">
        <is>
          <t>Are introverts worse leaders than extroverts?</t>
        </is>
      </c>
      <c r="D8" s="7" t="inlineStr">
        <is>
          <t>No. Introverts are not inherently worse leaders than extroverts.</t>
        </is>
      </c>
      <c r="E8" s="7" t="inlineStr">
        <is>
          <t>However, research suggests that extroverts often have an advantage in being recognized as leaders, while the effectiveness of either type depends partly on the team, the situation, and the leader's behavior.</t>
        </is>
      </c>
      <c r="F8" s="7" t="inlineStr">
        <is>
          <t>closest topic</t>
        </is>
      </c>
      <c r="G8" s="7" t="inlineStr">
        <is>
          <t>Some well-known leaders, such as Bill Gates and Abraham Lincoln, have been described as introverted.</t>
        </is>
      </c>
      <c r="H8" s="7" t="inlineStr">
        <is>
          <t>HEDGED ('some', 'described as')</t>
        </is>
      </c>
      <c r="I8" s="7" t="inlineStr">
        <is>
          <t>not_met</t>
        </is>
      </c>
      <c r="J8" s="7" t="inlineStr">
        <is>
          <t>GiSuN C4 set (written by us)</t>
        </is>
      </c>
      <c r="K8" s="7" t="inlineStr"/>
      <c r="L8" s="7" t="n"/>
      <c r="M8" s="7">
        <f>IF(L8="","",IF((L8="met")=(I8="met"),1,0))</f>
        <v/>
      </c>
      <c r="N8" s="7" t="n"/>
    </row>
    <row r="9">
      <c r="A9" s="7" t="n">
        <v>7</v>
      </c>
      <c r="B9" s="7" t="inlineStr">
        <is>
          <t>C4-07</t>
        </is>
      </c>
      <c r="C9" s="7" t="inlineStr">
        <is>
          <t>Is coffee bad for your health?</t>
        </is>
      </c>
      <c r="D9" s="7" t="inlineStr"/>
      <c r="E9" s="7" t="inlineStr">
        <is>
          <t>For most healthy adults, moderate coffee consumption is generally safe and may even offer health benefits.</t>
        </is>
      </c>
      <c r="F9" s="7" t="inlineStr">
        <is>
          <t>closest topic</t>
        </is>
      </c>
      <c r="G9" s="7" t="inlineStr">
        <is>
          <t>Coffee drinkers live longer.</t>
        </is>
      </c>
      <c r="H9" s="7" t="inlineStr">
        <is>
          <t>SWEEP-GENERIC (observational link stated as a rule)</t>
        </is>
      </c>
      <c r="I9" s="7" t="inlineStr">
        <is>
          <t>met</t>
        </is>
      </c>
      <c r="J9" s="7" t="inlineStr">
        <is>
          <t>GiSuN C4 set (written by us)</t>
        </is>
      </c>
      <c r="K9" s="7" t="inlineStr"/>
      <c r="L9" s="7" t="n"/>
      <c r="M9" s="7">
        <f>IF(L9="","",IF((L9="met")=(I9="met"),1,0))</f>
        <v/>
      </c>
      <c r="N9" s="7" t="n"/>
    </row>
    <row r="10">
      <c r="A10" s="7" t="n">
        <v>8</v>
      </c>
      <c r="B10" s="7" t="inlineStr">
        <is>
          <t>C4-08</t>
        </is>
      </c>
      <c r="C10" s="7" t="inlineStr">
        <is>
          <t>Do we only use 10% of our brains?</t>
        </is>
      </c>
      <c r="D10" s="7" t="inlineStr">
        <is>
          <t>This is a myth. / We use virtually all parts of our brain, although not every part is equally active at every moment.</t>
        </is>
      </c>
      <c r="E10" s="7" t="inlineStr">
        <is>
          <t>The idea that humans use only 10% of their brains is a popular misconception.</t>
        </is>
      </c>
      <c r="F10" s="7" t="inlineStr">
        <is>
          <t>closest topic</t>
        </is>
      </c>
      <c r="G10" s="7" t="inlineStr">
        <is>
          <t>No, the idea that we only use 10% of our brains is a myth.</t>
        </is>
      </c>
      <c r="H10" s="7" t="inlineStr">
        <is>
          <t>REPORTED (names the myth in order to reject it)</t>
        </is>
      </c>
      <c r="I10" s="7" t="inlineStr">
        <is>
          <t>not_met</t>
        </is>
      </c>
      <c r="J10" s="7" t="inlineStr">
        <is>
          <t>GiSuN C4 set (written by us)</t>
        </is>
      </c>
      <c r="K10" s="7" t="inlineStr"/>
      <c r="L10" s="7" t="n"/>
      <c r="M10" s="7">
        <f>IF(L10="","",IF((L10="met")=(I10="met"),1,0))</f>
        <v/>
      </c>
      <c r="N10" s="7" t="n"/>
    </row>
    <row r="11">
      <c r="A11" s="7" t="n">
        <v>9</v>
      </c>
      <c r="B11" s="7" t="inlineStr">
        <is>
          <t>C4-09</t>
        </is>
      </c>
      <c r="C11" s="7" t="inlineStr">
        <is>
          <t>Is college necessary to get a good job?</t>
        </is>
      </c>
      <c r="D11" s="7" t="inlineStr">
        <is>
          <t>Several career paths can lead to strong earnings without a four-year degree. / Electricians, plumbers, and HVAC technicians can enter through apprenticeships, technical training, and licensing.</t>
        </is>
      </c>
      <c r="E11" s="7" t="inlineStr">
        <is>
          <t>Some earn very good incomes without a bachelor's degree.</t>
        </is>
      </c>
      <c r="F11" s="7" t="inlineStr">
        <is>
          <t>closest topic</t>
        </is>
      </c>
      <c r="G11" s="7" t="inlineStr">
        <is>
          <t>Without a degree, you will never earn a good salary.</t>
        </is>
      </c>
      <c r="H11" s="7" t="inlineStr">
        <is>
          <t>SWEEP-ABS ('never', contradicted by the trades bullet)</t>
        </is>
      </c>
      <c r="I11" s="7" t="inlineStr">
        <is>
          <t>met</t>
        </is>
      </c>
      <c r="J11" s="7" t="inlineStr">
        <is>
          <t>GiSuN C4 set (written by us)</t>
        </is>
      </c>
      <c r="K11" s="7" t="inlineStr"/>
      <c r="L11" s="7" t="n"/>
      <c r="M11" s="7">
        <f>IF(L11="","",IF((L11="met")=(I11="met"),1,0))</f>
        <v/>
      </c>
      <c r="N11" s="7" t="n"/>
    </row>
    <row r="12">
      <c r="A12" s="7" t="n">
        <v>10</v>
      </c>
      <c r="B12" s="7" t="inlineStr">
        <is>
          <t>C4-10</t>
        </is>
      </c>
      <c r="C12" s="7" t="inlineStr">
        <is>
          <t>Are electric cars cheaper to own than gas cars?</t>
        </is>
      </c>
      <c r="D12" s="7" t="inlineStr">
        <is>
          <t>These can change the result considerably. / The U.S. Department of Energy offers a Vehicle Cost Calculator for comparing specific models and driving habits.</t>
        </is>
      </c>
      <c r="E12" s="7" t="inlineStr">
        <is>
          <t>Electric cars are usually cheaper to run, but they're not always cheaper to own.</t>
        </is>
      </c>
      <c r="F12" s="7" t="inlineStr">
        <is>
          <t>absolute word</t>
        </is>
      </c>
      <c r="G12" s="7" t="inlineStr">
        <is>
          <t>Charging at home usually costs less per mile than gasoline.</t>
        </is>
      </c>
      <c r="H12" s="7" t="inlineStr">
        <is>
          <t>HEDGED ('usually')</t>
        </is>
      </c>
      <c r="I12" s="7" t="inlineStr">
        <is>
          <t>not_met</t>
        </is>
      </c>
      <c r="J12" s="7" t="inlineStr">
        <is>
          <t>GiSuN C4 set (written by us)</t>
        </is>
      </c>
      <c r="K12" s="7" t="inlineStr"/>
      <c r="L12" s="7" t="n"/>
      <c r="M12" s="7">
        <f>IF(L12="","",IF((L12="met")=(I12="met"),1,0))</f>
        <v/>
      </c>
      <c r="N12" s="7" t="n"/>
    </row>
    <row r="13">
      <c r="A13" s="7" t="n">
        <v>11</v>
      </c>
      <c r="B13" s="7" t="inlineStr">
        <is>
          <t>C4-11</t>
        </is>
      </c>
      <c r="C13" s="7" t="inlineStr">
        <is>
          <t>What is a prime number?</t>
        </is>
      </c>
      <c r="D13" s="7" t="inlineStr"/>
      <c r="E13" s="7" t="inlineStr">
        <is>
          <t>A prime number is a whole number greater than 1 that has exactly two positive factors: 1 and itself.</t>
        </is>
      </c>
      <c r="F13" s="7" t="inlineStr">
        <is>
          <t>closest topic</t>
        </is>
      </c>
      <c r="G13" s="7" t="inlineStr">
        <is>
          <t>A prime number is a whole number greater than 1 that has exactly two divisors: 1 and itself.</t>
        </is>
      </c>
      <c r="H13" s="7" t="inlineStr">
        <is>
          <t>TRUE-ABS (definition)</t>
        </is>
      </c>
      <c r="I13" s="7" t="inlineStr">
        <is>
          <t>not_met</t>
        </is>
      </c>
      <c r="J13" s="7" t="inlineStr">
        <is>
          <t>GiSuN C4 set (written by us)</t>
        </is>
      </c>
      <c r="K13" s="7" t="inlineStr"/>
      <c r="L13" s="7" t="n"/>
      <c r="M13" s="7">
        <f>IF(L13="","",IF((L13="met")=(I13="met"),1,0))</f>
        <v/>
      </c>
      <c r="N13" s="7" t="n"/>
    </row>
    <row r="14">
      <c r="A14" s="7" t="n">
        <v>12</v>
      </c>
      <c r="B14" s="7" t="inlineStr">
        <is>
          <t>C4-12</t>
        </is>
      </c>
      <c r="C14" s="7" t="inlineStr">
        <is>
          <t>What are the requirements to become US president?</t>
        </is>
      </c>
      <c r="D14" s="7" t="inlineStr"/>
      <c r="E14" s="7" t="inlineStr">
        <is>
          <t>The U.S. Constitution establishes three basic requirements to become president.</t>
        </is>
      </c>
      <c r="F14" s="7" t="inlineStr">
        <is>
          <t>closest topic</t>
        </is>
      </c>
      <c r="G14" s="7" t="inlineStr">
        <is>
          <t>Presidents always win the popular vote.</t>
        </is>
      </c>
      <c r="H14" s="7" t="inlineStr">
        <is>
          <t>SWEEP-ABS ('always', false (2000, 2016))</t>
        </is>
      </c>
      <c r="I14" s="7" t="inlineStr">
        <is>
          <t>met</t>
        </is>
      </c>
      <c r="J14" s="7" t="inlineStr">
        <is>
          <t>GiSuN C4 set (written by us)</t>
        </is>
      </c>
      <c r="K14" s="7" t="inlineStr"/>
      <c r="L14" s="7" t="n"/>
      <c r="M14" s="7">
        <f>IF(L14="","",IF((L14="met")=(I14="met"),1,0))</f>
        <v/>
      </c>
      <c r="N14" s="7" t="n"/>
    </row>
    <row r="15">
      <c r="A15" s="7" t="n">
        <v>13</v>
      </c>
      <c r="B15" s="7" t="inlineStr">
        <is>
          <t>C4-13</t>
        </is>
      </c>
      <c r="C15" s="7" t="inlineStr">
        <is>
          <t>How do leap years work?</t>
        </is>
      </c>
      <c r="D15" s="7" t="inlineStr">
        <is>
          <t>A leap year is a year with 366 days instead of the usual 365 days. / The extra day is added to February, making it February 29 instead of February 28.</t>
        </is>
      </c>
      <c r="E15" s="7" t="inlineStr">
        <is>
          <t>Why do we need leap years?</t>
        </is>
      </c>
      <c r="F15" s="7" t="inlineStr">
        <is>
          <t>closest topic</t>
        </is>
      </c>
      <c r="G15" s="7" t="inlineStr">
        <is>
          <t>Leap years always fall in US presidential election years.</t>
        </is>
      </c>
      <c r="H15" s="7" t="inlineStr">
        <is>
          <t>SWEEP-ABS (subtle: false, 1900 had an election but no leap day)</t>
        </is>
      </c>
      <c r="I15" s="7" t="inlineStr">
        <is>
          <t>met</t>
        </is>
      </c>
      <c r="J15" s="7" t="inlineStr">
        <is>
          <t>GiSuN C4 set (written by us)</t>
        </is>
      </c>
      <c r="K15" s="7" t="inlineStr"/>
      <c r="L15" s="7" t="n"/>
      <c r="M15" s="7">
        <f>IF(L15="","",IF((L15="met")=(I15="met"),1,0))</f>
        <v/>
      </c>
      <c r="N15" s="7" t="n"/>
    </row>
    <row r="16">
      <c r="A16" s="7" t="n">
        <v>14</v>
      </c>
      <c r="B16" s="7" t="inlineStr">
        <is>
          <t>C4-14</t>
        </is>
      </c>
      <c r="C16" s="7" t="inlineStr">
        <is>
          <t>Does social media make people lonely?</t>
        </is>
      </c>
      <c r="D16" s="7" t="inlineStr">
        <is>
          <t>Getting support: Messaging someone when you're struggling can help you feel less alone. / What does the research say?</t>
        </is>
      </c>
      <c r="E16" s="7" t="inlineStr">
        <is>
          <t>A 2024 review in Annals of the New York Academy of Sciences found that the relationship between social media and loneliness is generally weak and that there is no clear evidence that social media itself causes loneliness.</t>
        </is>
      </c>
      <c r="F16" s="7" t="inlineStr">
        <is>
          <t>closest topic</t>
        </is>
      </c>
      <c r="G16" s="7" t="inlineStr">
        <is>
          <t>Some studies have found that heavy social media users report feeling lonelier.</t>
        </is>
      </c>
      <c r="H16" s="7" t="inlineStr">
        <is>
          <t>HEDGED ('some studies')</t>
        </is>
      </c>
      <c r="I16" s="7" t="inlineStr">
        <is>
          <t>not_met</t>
        </is>
      </c>
      <c r="J16" s="7" t="inlineStr">
        <is>
          <t>GiSuN C4 set (written by us)</t>
        </is>
      </c>
      <c r="K16" s="7" t="inlineStr"/>
      <c r="L16" s="7" t="n"/>
      <c r="M16" s="7">
        <f>IF(L16="","",IF((L16="met")=(I16="met"),1,0))</f>
        <v/>
      </c>
      <c r="N16" s="7" t="n"/>
    </row>
    <row r="17">
      <c r="A17" s="7" t="n">
        <v>15</v>
      </c>
      <c r="B17" s="7" t="inlineStr">
        <is>
          <t>C4-15</t>
        </is>
      </c>
      <c r="C17" s="7" t="inlineStr">
        <is>
          <t>Will AI replace software engineers?</t>
        </is>
      </c>
      <c r="D17" s="7" t="inlineStr"/>
      <c r="E17" s="7" t="inlineStr">
        <is>
          <t>AI will probably replace some software engineering tasks, but it is unlikely to eliminate the need for software engineers altogether in the near future.</t>
        </is>
      </c>
      <c r="F17" s="7" t="inlineStr">
        <is>
          <t>closest topic</t>
        </is>
      </c>
      <c r="G17" s="7" t="inlineStr">
        <is>
          <t>AI will replace all programmers within five years.</t>
        </is>
      </c>
      <c r="H17" s="7" t="inlineStr">
        <is>
          <t>SWEEP-ABS ('all', contradicts the answer)</t>
        </is>
      </c>
      <c r="I17" s="7" t="inlineStr">
        <is>
          <t>met</t>
        </is>
      </c>
      <c r="J17" s="7" t="inlineStr">
        <is>
          <t>GiSuN C4 set (written by us)</t>
        </is>
      </c>
      <c r="K17" s="7" t="inlineStr"/>
      <c r="L17" s="7" t="n"/>
      <c r="M17" s="7">
        <f>IF(L17="","",IF((L17="met")=(I17="met"),1,0))</f>
        <v/>
      </c>
      <c r="N17" s="7" t="n"/>
    </row>
    <row r="18">
      <c r="A18" s="7" t="n">
        <v>16</v>
      </c>
      <c r="B18" s="7" t="inlineStr">
        <is>
          <t>C4-16</t>
        </is>
      </c>
      <c r="C18" s="7" t="inlineStr">
        <is>
          <t>Do multivitamins work?</t>
        </is>
      </c>
      <c r="D18" s="7" t="inlineStr">
        <is>
          <t>Do multivitamins actually work? / Sometimes, but they are not a magic solution for better health.</t>
        </is>
      </c>
      <c r="E18" s="7" t="inlineStr">
        <is>
          <t>Research from the U.S. Preventive Services Task Force found insufficient evidence to determine whether multivitamins prevent heart disease or cancer in generally healthy adults.</t>
        </is>
      </c>
      <c r="F18" s="7" t="inlineStr">
        <is>
          <t>closest topic</t>
        </is>
      </c>
      <c r="G18" s="7" t="inlineStr">
        <is>
          <t>For most healthy adults who eat a balanced diet, multivitamins offer little measurable benefit.</t>
        </is>
      </c>
      <c r="H18" s="7" t="inlineStr">
        <is>
          <t>HEDGED ('most', scoped)</t>
        </is>
      </c>
      <c r="I18" s="7" t="inlineStr">
        <is>
          <t>not_met</t>
        </is>
      </c>
      <c r="J18" s="7" t="inlineStr">
        <is>
          <t>GiSuN C4 set (written by us)</t>
        </is>
      </c>
      <c r="K18" s="7" t="inlineStr"/>
      <c r="L18" s="7" t="n"/>
      <c r="M18" s="7">
        <f>IF(L18="","",IF((L18="met")=(I18="met"),1,0))</f>
        <v/>
      </c>
      <c r="N18" s="7" t="n"/>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7"/>
  <sheetViews>
    <sheetView workbookViewId="0">
      <pane ySplit="2" topLeftCell="A3" activePane="bottomLeft" state="frozen"/>
      <selection pane="bottomLeft" activeCell="A1" sqref="A1"/>
    </sheetView>
  </sheetViews>
  <sheetFormatPr baseColWidth="8" defaultRowHeight="15"/>
  <cols>
    <col width="5" customWidth="1" min="1" max="1"/>
    <col width="8" customWidth="1" min="2" max="2"/>
    <col width="34" customWidth="1" min="3" max="3"/>
    <col width="44" customWidth="1" min="4" max="4"/>
    <col width="50" customWidth="1" min="5" max="5"/>
    <col width="18" customWidth="1" min="6" max="6"/>
    <col width="50" customWidth="1" min="7" max="7"/>
    <col width="22" customWidth="1" min="8" max="8"/>
    <col width="10" customWidth="1" min="9" max="9"/>
    <col width="16" customWidth="1" min="10" max="10"/>
    <col width="16" customWidth="1" min="11" max="11"/>
    <col width="12" customWidth="1" min="12" max="12"/>
    <col width="9" customWidth="1" min="13" max="13"/>
    <col width="24" customWidth="1" min="14" max="14"/>
  </cols>
  <sheetData>
    <row r="1">
      <c r="A1" s="3" t="inlineStr">
        <is>
          <t>C5: 'Experts say' instead of a named source?</t>
        </is>
      </c>
      <c r="B1" s="4" t="n"/>
      <c r="C1" s="4" t="n"/>
      <c r="D1" s="4" t="n"/>
      <c r="E1" s="4" t="n"/>
      <c r="F1" s="4" t="n"/>
      <c r="G1" s="4" t="n"/>
      <c r="H1" s="4" t="n"/>
      <c r="I1" s="4" t="n"/>
      <c r="J1" s="4" t="n"/>
      <c r="K1" s="4" t="n"/>
      <c r="L1" s="4" t="n"/>
      <c r="M1" s="4" t="n"/>
      <c r="N1" s="5" t="n"/>
    </row>
    <row r="2">
      <c r="A2" s="6" t="inlineStr">
        <is>
          <t>#</t>
        </is>
      </c>
      <c r="B2" s="6" t="inlineStr">
        <is>
          <t>ID</t>
        </is>
      </c>
      <c r="C2" s="6" t="inlineStr">
        <is>
          <t>Question asked</t>
        </is>
      </c>
      <c r="D2" s="6" t="inlineStr">
        <is>
          <t>Previous 2 sentences</t>
        </is>
      </c>
      <c r="E2" s="6" t="inlineStr">
        <is>
          <t>Relevant sentence (from the answer)</t>
        </is>
      </c>
      <c r="F2" s="6" t="inlineStr">
        <is>
          <t>Why this sentence</t>
        </is>
      </c>
      <c r="G2" s="6" t="inlineStr">
        <is>
          <t>Dataset sentence (to insert)</t>
        </is>
      </c>
      <c r="H2" s="6" t="inlineStr">
        <is>
          <t>Their label</t>
        </is>
      </c>
      <c r="I2" s="6" t="inlineStr">
        <is>
          <t>Expected</t>
        </is>
      </c>
      <c r="J2" s="6" t="inlineStr">
        <is>
          <t>Dataset</t>
        </is>
      </c>
      <c r="K2" s="6" t="inlineStr">
        <is>
          <t>Source / context</t>
        </is>
      </c>
      <c r="L2" s="6" t="inlineStr">
        <is>
          <t>Agent decision</t>
        </is>
      </c>
      <c r="M2" s="6" t="inlineStr">
        <is>
          <t>Correct?</t>
        </is>
      </c>
      <c r="N2" s="6" t="inlineStr">
        <is>
          <t>Notes</t>
        </is>
      </c>
    </row>
    <row r="3">
      <c r="A3" s="7" t="n">
        <v>1</v>
      </c>
      <c r="B3" s="7" t="inlineStr">
        <is>
          <t>C5-01</t>
        </is>
      </c>
      <c r="C3" s="7" t="inlineStr">
        <is>
          <t>What are the murals of Manuel Eugenikos known for?</t>
        </is>
      </c>
      <c r="D3" s="7" t="inlineStr"/>
      <c r="E3" s="7" t="inlineStr">
        <is>
          <t>The murals of Manuel Eugenikos are known for their refined late Byzantine style, combining graceful figures, expressive faces, and richly colored drapery.</t>
        </is>
      </c>
      <c r="F3" s="7" t="inlineStr">
        <is>
          <t>closest topic</t>
        </is>
      </c>
      <c r="G3" s="7" t="inlineStr">
        <is>
          <t>Eugenicus’s murals are regarded as one of the best examples of the late Paleologian art.</t>
        </is>
      </c>
      <c r="H3" s="7" t="inlineStr">
        <is>
          <t>belief cue, no named source (our approximation)</t>
        </is>
      </c>
      <c r="I3" s="7" t="inlineStr">
        <is>
          <t>met</t>
        </is>
      </c>
      <c r="J3" s="7" t="inlineStr">
        <is>
          <t>Szeged (CoNLL-2010 Wikipedia)</t>
        </is>
      </c>
      <c r="K3" s="7" t="inlineStr"/>
      <c r="L3" s="7" t="n"/>
      <c r="M3" s="7">
        <f>IF(L3="","",IF((L3="met")=(I3="met"),1,0))</f>
        <v/>
      </c>
      <c r="N3" s="7" t="n"/>
    </row>
    <row r="4">
      <c r="A4" s="7" t="n">
        <v>2</v>
      </c>
      <c r="B4" s="7" t="inlineStr">
        <is>
          <t>C5-02</t>
        </is>
      </c>
      <c r="C4" s="7" t="inlineStr">
        <is>
          <t>Is the moss Polytrichum commune really a non-vascular plant?</t>
        </is>
      </c>
      <c r="D4" s="7" t="inlineStr"/>
      <c r="E4" s="7" t="inlineStr">
        <is>
          <t>Yes, *Polytrichum commune* is classified as a non-vascular plant because it lacks the true xylem and phloem found in vascular plants.</t>
        </is>
      </c>
      <c r="F4" s="7" t="inlineStr">
        <is>
          <t>closest topic</t>
        </is>
      </c>
      <c r="G4" s="7" t="inlineStr">
        <is>
          <t>While mosses are considered non-vascular plants, 'Polytrichum commune' shows clear differentiation of water conducting tissue.</t>
        </is>
      </c>
      <c r="H4" s="7" t="inlineStr">
        <is>
          <t>belief cue, no named source (our approximation)</t>
        </is>
      </c>
      <c r="I4" s="7" t="inlineStr">
        <is>
          <t>met</t>
        </is>
      </c>
      <c r="J4" s="7" t="inlineStr">
        <is>
          <t>Szeged (CoNLL-2010 Wikipedia)</t>
        </is>
      </c>
      <c r="K4" s="7" t="inlineStr"/>
      <c r="L4" s="7" t="n"/>
      <c r="M4" s="7">
        <f>IF(L4="","",IF((L4="met")=(I4="met"),1,0))</f>
        <v/>
      </c>
      <c r="N4" s="7" t="n"/>
    </row>
    <row r="5">
      <c r="A5" s="7" t="n">
        <v>3</v>
      </c>
      <c r="B5" s="7" t="inlineStr">
        <is>
          <t>C5-03</t>
        </is>
      </c>
      <c r="C5" s="7" t="inlineStr">
        <is>
          <t>Why do some neo-soul artists dislike being called neo-soul?</t>
        </is>
      </c>
      <c r="D5" s="7" t="inlineStr"/>
      <c r="E5" s="7" t="inlineStr">
        <is>
          <t>Some artists dislike being called “neo-soul” because they feel the label boxes their music into a narrow category when their influences span soul, jazz, hip-hop, funk, rock, and more.</t>
        </is>
      </c>
      <c r="F5" s="7" t="inlineStr">
        <is>
          <t>closest topic</t>
        </is>
      </c>
      <c r="G5" s="7" t="inlineStr">
        <is>
          <t>Many musicians who create what is considered "neo-soul" prefer to disassociate themselves from the tag, due to the term's buzzword-like usage.</t>
        </is>
      </c>
      <c r="H5" s="7" t="inlineStr">
        <is>
          <t>belief cue, no named source (our approximation)</t>
        </is>
      </c>
      <c r="I5" s="7" t="inlineStr">
        <is>
          <t>met</t>
        </is>
      </c>
      <c r="J5" s="7" t="inlineStr">
        <is>
          <t>Szeged (CoNLL-2010 Wikipedia)</t>
        </is>
      </c>
      <c r="K5" s="7" t="inlineStr"/>
      <c r="L5" s="7" t="n"/>
      <c r="M5" s="7">
        <f>IF(L5="","",IF((L5="met")=(I5="met"),1,0))</f>
        <v/>
      </c>
      <c r="N5" s="7" t="n"/>
    </row>
    <row r="6">
      <c r="A6" s="7" t="n">
        <v>4</v>
      </c>
      <c r="B6" s="7" t="inlineStr">
        <is>
          <t>C5-04</t>
        </is>
      </c>
      <c r="C6" s="7" t="inlineStr">
        <is>
          <t>What counts as Philadelphia's Main Line?</t>
        </is>
      </c>
      <c r="D6" s="7" t="inlineStr"/>
      <c r="E6" s="7" t="inlineStr">
        <is>
          <t>Philadelphia’s Main Line is an informal suburban region stretching northwest from the city along the historic Pennsylvania Railroad’s main line, now served by SEPTA’s Paoli/Thorndale Line.</t>
        </is>
      </c>
      <c r="F6" s="7" t="inlineStr">
        <is>
          <t>closest topic</t>
        </is>
      </c>
      <c r="G6" s="7" t="inlineStr">
        <is>
          <t>Neither, however, is located on the rail line for which the area is named and therefore they may be considered culturally rather than geographically on the Main Line.</t>
        </is>
      </c>
      <c r="H6" s="7" t="inlineStr">
        <is>
          <t>belief cue, no named source (our approximation)</t>
        </is>
      </c>
      <c r="I6" s="7" t="inlineStr">
        <is>
          <t>met</t>
        </is>
      </c>
      <c r="J6" s="7" t="inlineStr">
        <is>
          <t>Szeged (CoNLL-2010 Wikipedia)</t>
        </is>
      </c>
      <c r="K6" s="7" t="inlineStr"/>
      <c r="L6" s="7" t="n"/>
      <c r="M6" s="7">
        <f>IF(L6="","",IF((L6="met")=(I6="met"),1,0))</f>
        <v/>
      </c>
      <c r="N6" s="7" t="n"/>
    </row>
    <row r="7">
      <c r="A7" s="7" t="n">
        <v>5</v>
      </c>
      <c r="B7" s="7" t="inlineStr">
        <is>
          <t>C5-05</t>
        </is>
      </c>
      <c r="C7" s="7" t="inlineStr">
        <is>
          <t>Do Christian Scientists refuse medical treatment?</t>
        </is>
      </c>
      <c r="D7" s="7" t="inlineStr">
        <is>
          <t>Christian Scientists generally rely on prayer and spiritual healing rather than conventional medical treatment, reflecting their belief that healing comes through understanding God.</t>
        </is>
      </c>
      <c r="E7" s="7" t="inlineStr">
        <is>
          <t>However, the Church of Christ, Scientist does not formally forbid medical care, and individual members make their own decisions about seeking it.</t>
        </is>
      </c>
      <c r="F7" s="7" t="inlineStr">
        <is>
          <t>closest topic</t>
        </is>
      </c>
      <c r="G7" s="7" t="inlineStr">
        <is>
          <t>(However, the choice of healing method is regarded as a matter for the individual, and the Christian Science Church exerts no pressure on members to avoid medical treatment if they wish to avail of it as an alternative to Christian Science healing.)</t>
        </is>
      </c>
      <c r="H7" s="7" t="inlineStr">
        <is>
          <t>belief cue, no named source (our approximation)</t>
        </is>
      </c>
      <c r="I7" s="7" t="inlineStr">
        <is>
          <t>met</t>
        </is>
      </c>
      <c r="J7" s="7" t="inlineStr">
        <is>
          <t>Szeged (CoNLL-2010 Wikipedia)</t>
        </is>
      </c>
      <c r="K7" s="7" t="inlineStr"/>
      <c r="L7" s="7" t="n"/>
      <c r="M7" s="7">
        <f>IF(L7="","",IF((L7="met")=(I7="met"),1,0))</f>
        <v/>
      </c>
      <c r="N7" s="7" t="n"/>
    </row>
    <row r="8">
      <c r="A8" s="7" t="n">
        <v>6</v>
      </c>
      <c r="B8" s="7" t="inlineStr">
        <is>
          <t>C5-06</t>
        </is>
      </c>
      <c r="C8" s="7" t="inlineStr">
        <is>
          <t>Was tin from Dartmoor traded with the Phoenicians?</t>
        </is>
      </c>
      <c r="D8" s="7" t="inlineStr">
        <is>
          <t>Tin from Dartmoor may have reached Phoenician traders through wider trading networks, but there is no firm evidence of direct trade between them and Dartmoor’s inhabitants. / Southwest Britain was an important source of tin in antiquity, though the dates and origins of particular supplies are often difficult to establish.</t>
        </is>
      </c>
      <c r="E8" s="7" t="inlineStr">
        <is>
          <t>Ancient accounts refer to tin-producing islands called the Cassiterides, but their location is disputed, and they cannot securely be identified with Dartmoor.</t>
        </is>
      </c>
      <c r="F8" s="7" t="inlineStr">
        <is>
          <t>closest topic</t>
        </is>
      </c>
      <c r="G8" s="7" t="inlineStr">
        <is>
          <t>It is thought that tin was brought here from Dartmoor via the Plym and traded with the ancient Phoenicians.</t>
        </is>
      </c>
      <c r="H8" s="7" t="inlineStr">
        <is>
          <t>belief cue, no named source (our approximation)</t>
        </is>
      </c>
      <c r="I8" s="7" t="inlineStr">
        <is>
          <t>met</t>
        </is>
      </c>
      <c r="J8" s="7" t="inlineStr">
        <is>
          <t>Szeged (CoNLL-2010 Wikipedia)</t>
        </is>
      </c>
      <c r="K8" s="7" t="inlineStr"/>
      <c r="L8" s="7" t="n"/>
      <c r="M8" s="7">
        <f>IF(L8="","",IF((L8="met")=(I8="met"),1,0))</f>
        <v/>
      </c>
      <c r="N8" s="7" t="n"/>
    </row>
    <row r="9">
      <c r="A9" s="7" t="n">
        <v>7</v>
      </c>
      <c r="B9" s="7" t="inlineStr">
        <is>
          <t>C5-07</t>
        </is>
      </c>
      <c r="C9" s="7" t="inlineStr">
        <is>
          <t>How much was the settlement in that Canadian lawsuit?</t>
        </is>
      </c>
      <c r="D9" s="7" t="inlineStr">
        <is>
          <t>Which Canadian lawsuit are you referring to? / Please share the case name, a news link, or the people or companies involved.</t>
        </is>
      </c>
      <c r="E9" s="7" t="inlineStr">
        <is>
          <t>I don’t have enough context to identify the settlement amount.</t>
        </is>
      </c>
      <c r="F9" s="7" t="inlineStr">
        <is>
          <t>closest topic</t>
        </is>
      </c>
      <c r="G9" s="7" t="inlineStr">
        <is>
          <t>The settlement's terms were not announced, but were believed to be in the CA$150,000 range.</t>
        </is>
      </c>
      <c r="H9" s="7" t="inlineStr">
        <is>
          <t>belief cue, no named source (our approximation)</t>
        </is>
      </c>
      <c r="I9" s="7" t="inlineStr">
        <is>
          <t>met</t>
        </is>
      </c>
      <c r="J9" s="7" t="inlineStr">
        <is>
          <t>Szeged (CoNLL-2010 Wikipedia)</t>
        </is>
      </c>
      <c r="K9" s="7" t="inlineStr"/>
      <c r="L9" s="7" t="n"/>
      <c r="M9" s="7">
        <f>IF(L9="","",IF((L9="met")=(I9="met"),1,0))</f>
        <v/>
      </c>
      <c r="N9" s="7" t="n"/>
    </row>
    <row r="10">
      <c r="A10" s="7" t="n">
        <v>8</v>
      </c>
      <c r="B10" s="7" t="inlineStr">
        <is>
          <t>C5-08</t>
        </is>
      </c>
      <c r="C10" s="7" t="inlineStr">
        <is>
          <t>Why are organophosphate pesticides like this one considered neurotoxic?</t>
        </is>
      </c>
      <c r="D10" s="7" t="inlineStr"/>
      <c r="E10" s="7" t="inlineStr">
        <is>
          <t>Organophosphate pesticides are considered neurotoxic because they inhibit acetylcholinesterase, the enzyme that normally breaks down the neurotransmitter acetylcholine.</t>
        </is>
      </c>
      <c r="F10" s="7" t="inlineStr">
        <is>
          <t>closest topic</t>
        </is>
      </c>
      <c r="G10" s="7" t="inlineStr">
        <is>
          <t>Since its toxic effects are due to its activity as a cholinesterase inhibitor it is considered a neurotoxic pesticide.</t>
        </is>
      </c>
      <c r="H10" s="7" t="inlineStr">
        <is>
          <t>belief cue, no named source (our approximation)</t>
        </is>
      </c>
      <c r="I10" s="7" t="inlineStr">
        <is>
          <t>met</t>
        </is>
      </c>
      <c r="J10" s="7" t="inlineStr">
        <is>
          <t>Szeged (CoNLL-2010 Wikipedia)</t>
        </is>
      </c>
      <c r="K10" s="7" t="inlineStr"/>
      <c r="L10" s="7" t="n"/>
      <c r="M10" s="7">
        <f>IF(L10="","",IF((L10="met")=(I10="met"),1,0))</f>
        <v/>
      </c>
      <c r="N10" s="7" t="n"/>
    </row>
    <row r="11">
      <c r="A11" s="7" t="n">
        <v>9</v>
      </c>
      <c r="B11" s="7" t="inlineStr">
        <is>
          <t>C5-09</t>
        </is>
      </c>
      <c r="C11" s="7" t="inlineStr">
        <is>
          <t>How much military aid did the US give Turkey in the 1990s?</t>
        </is>
      </c>
      <c r="D11" s="7" t="inlineStr"/>
      <c r="E11" s="7" t="inlineStr">
        <is>
          <t>The United States provided Turkey with approximately $3.2 billion in military financing during the 1990s, counting U.S. fiscal years 1990–1999.</t>
        </is>
      </c>
      <c r="F11" s="7" t="inlineStr">
        <is>
          <t>closest topic</t>
        </is>
      </c>
      <c r="G11" s="7" t="inlineStr">
        <is>
          <t>In fact in the single year 1997, US military aid to Turkey was greater than in the entire period of 1950 to 1983 when there were allegedly Cold War issues.</t>
        </is>
      </c>
      <c r="H11" s="7" t="inlineStr">
        <is>
          <t>belief cue, no named source (our approximation)</t>
        </is>
      </c>
      <c r="I11" s="7" t="inlineStr">
        <is>
          <t>met</t>
        </is>
      </c>
      <c r="J11" s="7" t="inlineStr">
        <is>
          <t>Szeged (CoNLL-2010 Wikipedia)</t>
        </is>
      </c>
      <c r="K11" s="7" t="inlineStr"/>
      <c r="L11" s="7" t="n"/>
      <c r="M11" s="7">
        <f>IF(L11="","",IF((L11="met")=(I11="met"),1,0))</f>
        <v/>
      </c>
      <c r="N11" s="7" t="n"/>
    </row>
    <row r="12">
      <c r="A12" s="7" t="n">
        <v>10</v>
      </c>
      <c r="B12" s="7" t="inlineStr">
        <is>
          <t>C5-10</t>
        </is>
      </c>
      <c r="C12" s="7" t="inlineStr">
        <is>
          <t>Do psychopaths actually feel emotions?</t>
        </is>
      </c>
      <c r="D12" s="7" t="inlineStr"/>
      <c r="E12" s="7" t="inlineStr">
        <is>
          <t>Yes, people with psychopathic traits feel emotions, though some emotions may be less intense or work differently than they do for others.</t>
        </is>
      </c>
      <c r="F12" s="7" t="inlineStr">
        <is>
          <t>closest topic</t>
        </is>
      </c>
      <c r="G12" s="7" t="inlineStr">
        <is>
          <t>It is thought that any emotions which the primary psychopath exhibits are the fruits of watching and mimicking other people's emotions.</t>
        </is>
      </c>
      <c r="H12" s="7" t="inlineStr">
        <is>
          <t>belief cue, no named source (our approximation)</t>
        </is>
      </c>
      <c r="I12" s="7" t="inlineStr">
        <is>
          <t>met</t>
        </is>
      </c>
      <c r="J12" s="7" t="inlineStr">
        <is>
          <t>Szeged (CoNLL-2010 Wikipedia)</t>
        </is>
      </c>
      <c r="K12" s="7" t="inlineStr"/>
      <c r="L12" s="7" t="n"/>
      <c r="M12" s="7">
        <f>IF(L12="","",IF((L12="met")=(I12="met"),1,0))</f>
        <v/>
      </c>
      <c r="N12" s="7" t="n"/>
    </row>
    <row r="13">
      <c r="A13" s="7" t="n">
        <v>11</v>
      </c>
      <c r="B13" s="7" t="inlineStr">
        <is>
          <t>C5-11</t>
        </is>
      </c>
      <c r="C13" s="7" t="inlineStr">
        <is>
          <t>Why wasn't Cecil offered a college football scholarship out of high school?</t>
        </is>
      </c>
      <c r="D13" s="7" t="inlineStr">
        <is>
          <t>Which Cecil are you referring to? / A last name, school, or the title of the story or video would help me identify him.</t>
        </is>
      </c>
      <c r="E13" s="7" t="inlineStr">
        <is>
          <t>With only his first name, I can’t reliably explain why he wasn’t offered a college football scholarship.</t>
        </is>
      </c>
      <c r="F13" s="7" t="inlineStr">
        <is>
          <t>closest topic</t>
        </is>
      </c>
      <c r="G13" s="7" t="inlineStr">
        <is>
          <t>At and (at the time), Cecil was considered too small to be a collegiate star and thus was not offered a scholarship out of high school.</t>
        </is>
      </c>
      <c r="H13" s="7" t="inlineStr">
        <is>
          <t>belief cue, no named source (our approximation)</t>
        </is>
      </c>
      <c r="I13" s="7" t="inlineStr">
        <is>
          <t>met</t>
        </is>
      </c>
      <c r="J13" s="7" t="inlineStr">
        <is>
          <t>Szeged (CoNLL-2010 Wikipedia)</t>
        </is>
      </c>
      <c r="K13" s="7" t="inlineStr"/>
      <c r="L13" s="7" t="n"/>
      <c r="M13" s="7">
        <f>IF(L13="","",IF((L13="met")=(I13="met"),1,0))</f>
        <v/>
      </c>
      <c r="N13" s="7" t="n"/>
    </row>
    <row r="14">
      <c r="A14" s="7" t="n">
        <v>12</v>
      </c>
      <c r="B14" s="7" t="inlineStr">
        <is>
          <t>C5-12</t>
        </is>
      </c>
      <c r="C14" s="7" t="inlineStr">
        <is>
          <t>Is there an English translation of Hallgrímur Pétursson's Passion Hymns?</t>
        </is>
      </c>
      <c r="D14" s="7" t="inlineStr"/>
      <c r="E14" s="7" t="inlineStr">
        <is>
          <t>Yes—Hallgrímur Pétursson’s *Passion Hymns* (*Passíusálmar*) have been translated into English.</t>
        </is>
      </c>
      <c r="F14" s="7" t="inlineStr">
        <is>
          <t>closest topic</t>
        </is>
      </c>
      <c r="G14" s="7" t="inlineStr">
        <is>
          <t>In addition, a selection of texts were translated by Anglican Bishop Charles Venn Pilcher and published in a pamphlet entitled "Thirty-One Meditations on Christ's Passion"; this translation, although incomplete, is regarded as more true to the Lutheran theology of Hallgrímur Pétursson.</t>
        </is>
      </c>
      <c r="H14" s="7" t="inlineStr">
        <is>
          <t>belief cue, no named source (our approximation)</t>
        </is>
      </c>
      <c r="I14" s="7" t="inlineStr">
        <is>
          <t>met</t>
        </is>
      </c>
      <c r="J14" s="7" t="inlineStr">
        <is>
          <t>Szeged (CoNLL-2010 Wikipedia)</t>
        </is>
      </c>
      <c r="K14" s="7" t="inlineStr"/>
      <c r="L14" s="7" t="n"/>
      <c r="M14" s="7">
        <f>IF(L14="","",IF((L14="met")=(I14="met"),1,0))</f>
        <v/>
      </c>
      <c r="N14" s="7" t="n"/>
    </row>
    <row r="15">
      <c r="A15" s="7" t="n">
        <v>13</v>
      </c>
      <c r="B15" s="7" t="inlineStr">
        <is>
          <t>C5-13</t>
        </is>
      </c>
      <c r="C15" s="7" t="inlineStr">
        <is>
          <t>Did choosing Joe Lieberman as running mate help Al Gore with Jewish voters in 2000?</t>
        </is>
      </c>
      <c r="D15" s="7" t="inlineStr">
        <is>
          <t>Choosing Joe Lieberman likely helped Al Gore generate enthusiasm among Jewish voters, but there is little evidence that it substantially increased his share of their votes.</t>
        </is>
      </c>
      <c r="E15" s="7" t="inlineStr">
        <is>
          <t>Lieberman was the first Jewish candidate on a major party’s presidential ticket, making his nomination historically significant and a source of pride for many Jewish Americans.</t>
        </is>
      </c>
      <c r="F15" s="7" t="inlineStr">
        <is>
          <t>closest topic</t>
        </is>
      </c>
      <c r="G15" s="7" t="inlineStr">
        <is>
          <t>While it can be said that Lieberman invited support from the Jewish population, many believe it would not have made a difference if a Gentile was selected as Gore's running mate, as Jews historically have favored the Democrats.</t>
        </is>
      </c>
      <c r="H15" s="7" t="inlineStr">
        <is>
          <t>belief cue, no named source (our approximation)</t>
        </is>
      </c>
      <c r="I15" s="7" t="inlineStr">
        <is>
          <t>met</t>
        </is>
      </c>
      <c r="J15" s="7" t="inlineStr">
        <is>
          <t>Szeged (CoNLL-2010 Wikipedia)</t>
        </is>
      </c>
      <c r="K15" s="7" t="inlineStr"/>
      <c r="L15" s="7" t="n"/>
      <c r="M15" s="7">
        <f>IF(L15="","",IF((L15="met")=(I15="met"),1,0))</f>
        <v/>
      </c>
      <c r="N15" s="7" t="n"/>
    </row>
    <row r="16">
      <c r="A16" s="7" t="n">
        <v>14</v>
      </c>
      <c r="B16" s="7" t="inlineStr">
        <is>
          <t>C5-14</t>
        </is>
      </c>
      <c r="C16" s="7" t="inlineStr">
        <is>
          <t>Can eating poppy seeds make you fail a drug test?</t>
        </is>
      </c>
      <c r="D16" s="7" t="inlineStr">
        <is>
          <t>Yes, eating poppy seeds can sometimes cause a positive drug test for opiates because the seeds may carry trace amounts of morphine and codeine from the poppy plant. / The likelihood depends on how many seeds you eat, how they were processed, when you’re tested, and the test’s cutoff level.</t>
        </is>
      </c>
      <c r="E16" s="7" t="inlineStr">
        <is>
          <t>A poppy seed pastry won’t always trigger a positive result, but foods containing larger amounts can increase the risk.</t>
        </is>
      </c>
      <c r="F16" s="7" t="inlineStr">
        <is>
          <t>closest topic</t>
        </is>
      </c>
      <c r="G16" s="7" t="inlineStr">
        <is>
          <t>Therefore it is possible to cross the current standard 2,000 ng/mL limit of detection, depending on seed potency and quantity ingested.</t>
        </is>
      </c>
      <c r="H16" s="7" t="inlineStr">
        <is>
          <t>no uncertainty cue</t>
        </is>
      </c>
      <c r="I16" s="7" t="inlineStr">
        <is>
          <t>not_met</t>
        </is>
      </c>
      <c r="J16" s="7" t="inlineStr">
        <is>
          <t>Szeged (CoNLL-2010 Wikipedia)</t>
        </is>
      </c>
      <c r="K16" s="7" t="inlineStr"/>
      <c r="L16" s="7" t="n"/>
      <c r="M16" s="7">
        <f>IF(L16="","",IF((L16="met")=(I16="met"),1,0))</f>
        <v/>
      </c>
      <c r="N16" s="7" t="n"/>
    </row>
    <row r="17">
      <c r="A17" s="7" t="n">
        <v>15</v>
      </c>
      <c r="B17" s="7" t="inlineStr">
        <is>
          <t>C5-15</t>
        </is>
      </c>
      <c r="C17" s="7" t="inlineStr">
        <is>
          <t>When did Sinn Féin start winning seats in the Republic of Ireland?</t>
        </is>
      </c>
      <c r="D17" s="7" t="inlineStr"/>
      <c r="E17" s="7" t="inlineStr">
        <is>
          <t>Sinn Féin first won parliamentary seats in the 1918 general election, when it swept most Irish constituencies, although the Republic of Ireland did not yet exist.</t>
        </is>
      </c>
      <c r="F17" s="7" t="inlineStr">
        <is>
          <t>closest topic</t>
        </is>
      </c>
      <c r="G17" s="7" t="inlineStr">
        <is>
          <t>They did not make significant electoral gains in the Republic until after the IRA ceasefires and the Belfast Agreement of 1998.</t>
        </is>
      </c>
      <c r="H17" s="7" t="inlineStr">
        <is>
          <t>no uncertainty cue</t>
        </is>
      </c>
      <c r="I17" s="7" t="inlineStr">
        <is>
          <t>not_met</t>
        </is>
      </c>
      <c r="J17" s="7" t="inlineStr">
        <is>
          <t>Szeged (CoNLL-2010 Wikipedia)</t>
        </is>
      </c>
      <c r="K17" s="7" t="inlineStr"/>
      <c r="L17" s="7" t="n"/>
      <c r="M17" s="7">
        <f>IF(L17="","",IF((L17="met")=(I17="met"),1,0))</f>
        <v/>
      </c>
      <c r="N17" s="7" t="n"/>
    </row>
    <row r="18">
      <c r="A18" s="7" t="n">
        <v>16</v>
      </c>
      <c r="B18" s="7" t="inlineStr">
        <is>
          <t>C5-16</t>
        </is>
      </c>
      <c r="C18" s="7" t="inlineStr">
        <is>
          <t>What does the Water Survey of Canada do?</t>
        </is>
      </c>
      <c r="D18" s="7" t="inlineStr">
        <is>
          <t>The Water Survey of Canada is the federal organization responsible for collecting, interpreting, and sharing information about water levels and river flows across Canada. / It operates a national network of hydrometric monitoring stations in partnership with provincial and territorial governments and other organizations.</t>
        </is>
      </c>
      <c r="E18" s="7" t="inlineStr">
        <is>
          <t>Its data supports flood forecasting, drought monitoring, water management, infrastructure planning, and scientific research.</t>
        </is>
      </c>
      <c r="F18" s="7" t="inlineStr">
        <is>
          <t>closest topic</t>
        </is>
      </c>
      <c r="G18" s="7" t="inlineStr">
        <is>
          <t>Data developed by the WSC is used for water resource management purposes in various policy programs by federal, provincial and municipal governments.</t>
        </is>
      </c>
      <c r="H18" s="7" t="inlineStr">
        <is>
          <t>no uncertainty cue</t>
        </is>
      </c>
      <c r="I18" s="7" t="inlineStr">
        <is>
          <t>not_met</t>
        </is>
      </c>
      <c r="J18" s="7" t="inlineStr">
        <is>
          <t>Szeged (CoNLL-2010 Wikipedia)</t>
        </is>
      </c>
      <c r="K18" s="7" t="inlineStr"/>
      <c r="L18" s="7" t="n"/>
      <c r="M18" s="7">
        <f>IF(L18="","",IF((L18="met")=(I18="met"),1,0))</f>
        <v/>
      </c>
      <c r="N18" s="7" t="n"/>
    </row>
    <row r="19">
      <c r="A19" s="7" t="n">
        <v>17</v>
      </c>
      <c r="B19" s="7" t="inlineStr">
        <is>
          <t>C5-17</t>
        </is>
      </c>
      <c r="C19" s="7" t="inlineStr">
        <is>
          <t>What was the camera obscura lamp experiment, and why did it matter?</t>
        </is>
      </c>
      <c r="D19" s="7" t="inlineStr"/>
      <c r="E19" s="7" t="inlineStr">
        <is>
          <t>The camera obscura lamp experiment, associated with the medieval scientist Ibn al-Haytham (Alhazen), used lamps placed outside a darkened room with a small hole in one wall.</t>
        </is>
      </c>
      <c r="F19" s="7" t="inlineStr">
        <is>
          <t>closest topic</t>
        </is>
      </c>
      <c r="G19" s="7" t="inlineStr">
        <is>
          <t>His lamp experiment, where several different light sources are arranged across a large area, is the first successful projection of an entire image from outdoors onto a screen indoors with the 'camera obscura'.</t>
        </is>
      </c>
      <c r="H19" s="7" t="inlineStr">
        <is>
          <t>no uncertainty cue</t>
        </is>
      </c>
      <c r="I19" s="7" t="inlineStr">
        <is>
          <t>not_met</t>
        </is>
      </c>
      <c r="J19" s="7" t="inlineStr">
        <is>
          <t>Szeged (CoNLL-2010 Wikipedia)</t>
        </is>
      </c>
      <c r="K19" s="7" t="inlineStr"/>
      <c r="L19" s="7" t="n"/>
      <c r="M19" s="7">
        <f>IF(L19="","",IF((L19="met")=(I19="met"),1,0))</f>
        <v/>
      </c>
      <c r="N19" s="7" t="n"/>
    </row>
    <row r="20">
      <c r="A20" s="7" t="n">
        <v>18</v>
      </c>
      <c r="B20" s="7" t="inlineStr">
        <is>
          <t>C5-18</t>
        </is>
      </c>
      <c r="C20" s="7" t="inlineStr">
        <is>
          <t>Who led North Korea in the 2000s?</t>
        </is>
      </c>
      <c r="D20" s="7" t="inlineStr">
        <is>
          <t>Kim Jong-il led North Korea throughout the 2000s.</t>
        </is>
      </c>
      <c r="E20" s="7" t="inlineStr">
        <is>
          <t>He had become the country’s supreme leader after the death of his father, Kim Il-sung, in 1994.</t>
        </is>
      </c>
      <c r="F20" s="7" t="inlineStr">
        <is>
          <t>closest topic</t>
        </is>
      </c>
      <c r="G20" s="7" t="inlineStr">
        <is>
          <t>The current leader is Kim Jong-il, the late president Kim Il-sung's son.</t>
        </is>
      </c>
      <c r="H20" s="7" t="inlineStr">
        <is>
          <t>no uncertainty cue</t>
        </is>
      </c>
      <c r="I20" s="7" t="inlineStr">
        <is>
          <t>not_met</t>
        </is>
      </c>
      <c r="J20" s="7" t="inlineStr">
        <is>
          <t>Szeged (CoNLL-2010 Wikipedia)</t>
        </is>
      </c>
      <c r="K20" s="7" t="inlineStr"/>
      <c r="L20" s="7" t="n"/>
      <c r="M20" s="7">
        <f>IF(L20="","",IF((L20="met")=(I20="met"),1,0))</f>
        <v/>
      </c>
      <c r="N20" s="7" t="n"/>
    </row>
    <row r="21">
      <c r="A21" s="7" t="n">
        <v>19</v>
      </c>
      <c r="B21" s="7" t="inlineStr">
        <is>
          <t>C5-19</t>
        </is>
      </c>
      <c r="C21" s="7" t="inlineStr">
        <is>
          <t>How is picric acid made from benzene?</t>
        </is>
      </c>
      <c r="D21" s="7" t="inlineStr"/>
      <c r="E21" s="7" t="inlineStr">
        <is>
          <t>Picric acid, also called 2,4,6-trinitrophenol, is conceptually derived from benzene by first converting the benzene framework into phenol and then introducing three nitro groups onto the ring.</t>
        </is>
      </c>
      <c r="F21" s="7" t="inlineStr">
        <is>
          <t>closest topic</t>
        </is>
      </c>
      <c r="G21" s="7" t="inlineStr">
        <is>
          <t>In the Wolfenstein-Boters reaction, benzene reacts with nitric acid and mercury nitrate to give picric acid.</t>
        </is>
      </c>
      <c r="H21" s="7" t="inlineStr">
        <is>
          <t>no uncertainty cue</t>
        </is>
      </c>
      <c r="I21" s="7" t="inlineStr">
        <is>
          <t>not_met</t>
        </is>
      </c>
      <c r="J21" s="7" t="inlineStr">
        <is>
          <t>Szeged (CoNLL-2010 Wikipedia)</t>
        </is>
      </c>
      <c r="K21" s="7" t="inlineStr"/>
      <c r="L21" s="7" t="n"/>
      <c r="M21" s="7">
        <f>IF(L21="","",IF((L21="met")=(I21="met"),1,0))</f>
        <v/>
      </c>
      <c r="N21" s="7" t="n"/>
    </row>
    <row r="22">
      <c r="A22" s="7" t="n">
        <v>20</v>
      </c>
      <c r="B22" s="7" t="inlineStr">
        <is>
          <t>C5-20</t>
        </is>
      </c>
      <c r="C22" s="7" t="inlineStr">
        <is>
          <t>What is a zero-sum game? Can you give a simple example?</t>
        </is>
      </c>
      <c r="D22" s="7" t="inlineStr"/>
      <c r="E22" s="7" t="inlineStr">
        <is>
          <t>A zero-sum game is a situation where one person’s gain is exactly balanced by another person’s loss.</t>
        </is>
      </c>
      <c r="F22" s="7" t="inlineStr">
        <is>
          <t>closest topic</t>
        </is>
      </c>
      <c r="G22" s="7" t="inlineStr">
        <is>
          <t>Cutting a cake is zero- or constant-sum, because taking a larger piece reduces the amount of cake available for others.</t>
        </is>
      </c>
      <c r="H22" s="7" t="inlineStr">
        <is>
          <t>no uncertainty cue</t>
        </is>
      </c>
      <c r="I22" s="7" t="inlineStr">
        <is>
          <t>not_met</t>
        </is>
      </c>
      <c r="J22" s="7" t="inlineStr">
        <is>
          <t>Szeged (CoNLL-2010 Wikipedia)</t>
        </is>
      </c>
      <c r="K22" s="7" t="inlineStr"/>
      <c r="L22" s="7" t="n"/>
      <c r="M22" s="7">
        <f>IF(L22="","",IF((L22="met")=(I22="met"),1,0))</f>
        <v/>
      </c>
      <c r="N22" s="7" t="n"/>
    </row>
    <row r="23">
      <c r="A23" s="7" t="n">
        <v>21</v>
      </c>
      <c r="B23" s="7" t="inlineStr">
        <is>
          <t>C5-21</t>
        </is>
      </c>
      <c r="C23" s="7" t="inlineStr">
        <is>
          <t>What are metal pipes usually made of?</t>
        </is>
      </c>
      <c r="D23" s="7" t="inlineStr"/>
      <c r="E23" s="7" t="inlineStr">
        <is>
          <t>Metal pipes are usually made of steel, stainless steel, copper, cast iron, or aluminum.</t>
        </is>
      </c>
      <c r="F23" s="7" t="inlineStr">
        <is>
          <t>closest topic</t>
        </is>
      </c>
      <c r="G23" s="7" t="inlineStr">
        <is>
          <t>Metallic pipes are commonly made from steel or iron; the metal chemistry and its finish are peculiar to the use fit and form.</t>
        </is>
      </c>
      <c r="H23" s="7" t="inlineStr">
        <is>
          <t>no uncertainty cue</t>
        </is>
      </c>
      <c r="I23" s="7" t="inlineStr">
        <is>
          <t>not_met</t>
        </is>
      </c>
      <c r="J23" s="7" t="inlineStr">
        <is>
          <t>Szeged (CoNLL-2010 Wikipedia)</t>
        </is>
      </c>
      <c r="K23" s="7" t="inlineStr"/>
      <c r="L23" s="7" t="n"/>
      <c r="M23" s="7">
        <f>IF(L23="","",IF((L23="met")=(I23="met"),1,0))</f>
        <v/>
      </c>
      <c r="N23" s="7" t="n"/>
    </row>
    <row r="24">
      <c r="A24" s="7" t="n">
        <v>22</v>
      </c>
      <c r="B24" s="7" t="inlineStr">
        <is>
          <t>C5-22</t>
        </is>
      </c>
      <c r="C24" s="7" t="inlineStr">
        <is>
          <t>How far back do experiments on human subjects with chemical agents go?</t>
        </is>
      </c>
      <c r="D24" s="7" t="inlineStr">
        <is>
          <t>Experiments on humans with chemical substances go back centuries, with ancient accounts describing poisons being tested on prisoners or condemned people, although the evidence for some stories is uncertain. / More systematically documented experiments involving drugs, anesthetics, and toxic substances appeared in the eighteenth and nineteenth centuries.</t>
        </is>
      </c>
      <c r="E24" s="7" t="inlineStr">
        <is>
          <t>If you mean chemical warfare agents specifically, organized human testing expanded during World War I, when researchers studied substances such as chlorine and mustard gas.</t>
        </is>
      </c>
      <c r="F24" s="7" t="inlineStr">
        <is>
          <t>closest topic</t>
        </is>
      </c>
      <c r="G24" s="7" t="inlineStr">
        <is>
          <t>Experiments on human subjects utilizing such agents goes back to at least World War I.</t>
        </is>
      </c>
      <c r="H24" s="7" t="inlineStr">
        <is>
          <t>no uncertainty cue</t>
        </is>
      </c>
      <c r="I24" s="7" t="inlineStr">
        <is>
          <t>not_met</t>
        </is>
      </c>
      <c r="J24" s="7" t="inlineStr">
        <is>
          <t>Szeged (CoNLL-2010 Wikipedia)</t>
        </is>
      </c>
      <c r="K24" s="7" t="inlineStr"/>
      <c r="L24" s="7" t="n"/>
      <c r="M24" s="7">
        <f>IF(L24="","",IF((L24="met")=(I24="met"),1,0))</f>
        <v/>
      </c>
      <c r="N24" s="7" t="n"/>
    </row>
    <row r="25">
      <c r="A25" s="7" t="n">
        <v>23</v>
      </c>
      <c r="B25" s="7" t="inlineStr">
        <is>
          <t>C5-23</t>
        </is>
      </c>
      <c r="C25" s="7" t="inlineStr">
        <is>
          <t>How many public universities does Bangladesh have?</t>
        </is>
      </c>
      <c r="D25" s="7" t="inlineStr"/>
      <c r="E25" s="7" t="inlineStr">
        <is>
          <t>Bangladesh currently has 61 public universities, according to the [University Grants Commission’s official list](https://www.ugc.gov.bd/universities/public-universities).</t>
        </is>
      </c>
      <c r="F25" s="7" t="inlineStr">
        <is>
          <t>closest topic</t>
        </is>
      </c>
      <c r="G25" s="7" t="inlineStr">
        <is>
          <t>Bangladesh has 31 public universities instructing the bulk of higher studies students, especially from disadvantaged classes.</t>
        </is>
      </c>
      <c r="H25" s="7" t="inlineStr">
        <is>
          <t>no uncertainty cue</t>
        </is>
      </c>
      <c r="I25" s="7" t="inlineStr">
        <is>
          <t>not_met</t>
        </is>
      </c>
      <c r="J25" s="7" t="inlineStr">
        <is>
          <t>Szeged (CoNLL-2010 Wikipedia)</t>
        </is>
      </c>
      <c r="K25" s="7" t="inlineStr"/>
      <c r="L25" s="7" t="n"/>
      <c r="M25" s="7">
        <f>IF(L25="","",IF((L25="met")=(I25="met"),1,0))</f>
        <v/>
      </c>
      <c r="N25" s="7" t="n"/>
    </row>
    <row r="26">
      <c r="A26" s="7" t="n">
        <v>24</v>
      </c>
      <c r="B26" s="7" t="inlineStr">
        <is>
          <t>C5-24</t>
        </is>
      </c>
      <c r="C26" s="7" t="inlineStr">
        <is>
          <t>What is the Detroit Institute of Arts known for?</t>
        </is>
      </c>
      <c r="D26" s="7" t="inlineStr"/>
      <c r="E26" s="7" t="inlineStr">
        <is>
          <t>The Detroit Institute of Arts (DIA) is known for its world-class art collection, spanning thousands of years and cultures from around the globe.</t>
        </is>
      </c>
      <c r="F26" s="7" t="inlineStr">
        <is>
          <t>closest topic</t>
        </is>
      </c>
      <c r="G26" s="7" t="inlineStr">
        <is>
          <t>The 'Detroit Institute of Arts' ('DIA'), originally named the 'Detroit Museum of Art', has one of the largest, most significant art collections in the United States.</t>
        </is>
      </c>
      <c r="H26" s="7" t="inlineStr">
        <is>
          <t>no uncertainty cue</t>
        </is>
      </c>
      <c r="I26" s="7" t="inlineStr">
        <is>
          <t>not_met</t>
        </is>
      </c>
      <c r="J26" s="7" t="inlineStr">
        <is>
          <t>Szeged (CoNLL-2010 Wikipedia)</t>
        </is>
      </c>
      <c r="K26" s="7" t="inlineStr"/>
      <c r="L26" s="7" t="n"/>
      <c r="M26" s="7">
        <f>IF(L26="","",IF((L26="met")=(I26="met"),1,0))</f>
        <v/>
      </c>
      <c r="N26" s="7" t="n"/>
    </row>
    <row r="27">
      <c r="A27" s="7" t="n">
        <v>25</v>
      </c>
      <c r="B27" s="7" t="inlineStr">
        <is>
          <t>C5-25</t>
        </is>
      </c>
      <c r="C27" s="7" t="inlineStr">
        <is>
          <t>Why does English borrow so many words from other languages?</t>
        </is>
      </c>
      <c r="D27" s="7" t="inlineStr">
        <is>
          <t>English borrows so many words because its speakers have had centuries of contact with other languages through migration, conquest, trade, and cultural exchange.</t>
        </is>
      </c>
      <c r="E27" s="7" t="inlineStr">
        <is>
          <t>Although English is a Germanic language, Viking settlement introduced Norse words, and the Norman Conquest brought a large amount of French vocabulary, while Latin and Greek supplied many scholarly and scientific terms.</t>
        </is>
      </c>
      <c r="F27" s="7" t="inlineStr">
        <is>
          <t>closest topic</t>
        </is>
      </c>
      <c r="G27" s="7" t="inlineStr">
        <is>
          <t>English easily accepts technical terms into common usage and imports new words and phrases that often come into common usage.</t>
        </is>
      </c>
      <c r="H27" s="7" t="inlineStr">
        <is>
          <t>no uncertainty cue</t>
        </is>
      </c>
      <c r="I27" s="7" t="inlineStr">
        <is>
          <t>not_met</t>
        </is>
      </c>
      <c r="J27" s="7" t="inlineStr">
        <is>
          <t>Szeged (CoNLL-2010 Wikipedia)</t>
        </is>
      </c>
      <c r="K27" s="7" t="inlineStr"/>
      <c r="L27" s="7" t="n"/>
      <c r="M27" s="7">
        <f>IF(L27="","",IF((L27="met")=(I27="met"),1,0))</f>
        <v/>
      </c>
      <c r="N27" s="7" t="n"/>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7"/>
  <sheetViews>
    <sheetView workbookViewId="0">
      <pane ySplit="2" topLeftCell="A3" activePane="bottomLeft" state="frozen"/>
      <selection pane="bottomLeft" activeCell="A1" sqref="A1"/>
    </sheetView>
  </sheetViews>
  <sheetFormatPr baseColWidth="8" defaultRowHeight="15"/>
  <cols>
    <col width="5" customWidth="1" min="1" max="1"/>
    <col width="8" customWidth="1" min="2" max="2"/>
    <col width="34" customWidth="1" min="3" max="3"/>
    <col width="44" customWidth="1" min="4" max="4"/>
    <col width="50" customWidth="1" min="5" max="5"/>
    <col width="18" customWidth="1" min="6" max="6"/>
    <col width="50" customWidth="1" min="7" max="7"/>
    <col width="22" customWidth="1" min="8" max="8"/>
    <col width="10" customWidth="1" min="9" max="9"/>
    <col width="16" customWidth="1" min="10" max="10"/>
    <col width="16" customWidth="1" min="11" max="11"/>
    <col width="12" customWidth="1" min="12" max="12"/>
    <col width="9" customWidth="1" min="13" max="13"/>
    <col width="24" customWidth="1" min="14" max="14"/>
  </cols>
  <sheetData>
    <row r="1">
      <c r="A1" s="3" t="inlineStr">
        <is>
          <t>C6: Cause-and-effect stated without evidence?</t>
        </is>
      </c>
      <c r="B1" s="4" t="n"/>
      <c r="C1" s="4" t="n"/>
      <c r="D1" s="4" t="n"/>
      <c r="E1" s="4" t="n"/>
      <c r="F1" s="4" t="n"/>
      <c r="G1" s="4" t="n"/>
      <c r="H1" s="4" t="n"/>
      <c r="I1" s="4" t="n"/>
      <c r="J1" s="4" t="n"/>
      <c r="K1" s="4" t="n"/>
      <c r="L1" s="4" t="n"/>
      <c r="M1" s="4" t="n"/>
      <c r="N1" s="5" t="n"/>
    </row>
    <row r="2">
      <c r="A2" s="6" t="inlineStr">
        <is>
          <t>#</t>
        </is>
      </c>
      <c r="B2" s="6" t="inlineStr">
        <is>
          <t>ID</t>
        </is>
      </c>
      <c r="C2" s="6" t="inlineStr">
        <is>
          <t>Question asked</t>
        </is>
      </c>
      <c r="D2" s="6" t="inlineStr">
        <is>
          <t>Previous 2 sentences</t>
        </is>
      </c>
      <c r="E2" s="6" t="inlineStr">
        <is>
          <t>Relevant sentence (from the answer)</t>
        </is>
      </c>
      <c r="F2" s="6" t="inlineStr">
        <is>
          <t>Why this sentence</t>
        </is>
      </c>
      <c r="G2" s="6" t="inlineStr">
        <is>
          <t>Dataset sentence (to insert)</t>
        </is>
      </c>
      <c r="H2" s="6" t="inlineStr">
        <is>
          <t>Their label</t>
        </is>
      </c>
      <c r="I2" s="6" t="inlineStr">
        <is>
          <t>Expected</t>
        </is>
      </c>
      <c r="J2" s="6" t="inlineStr">
        <is>
          <t>Dataset</t>
        </is>
      </c>
      <c r="K2" s="6" t="inlineStr">
        <is>
          <t>Source / context</t>
        </is>
      </c>
      <c r="L2" s="6" t="inlineStr">
        <is>
          <t>Agent decision</t>
        </is>
      </c>
      <c r="M2" s="6" t="inlineStr">
        <is>
          <t>Correct?</t>
        </is>
      </c>
      <c r="N2" s="6" t="inlineStr">
        <is>
          <t>Notes</t>
        </is>
      </c>
    </row>
    <row r="3">
      <c r="A3" s="7" t="n">
        <v>1</v>
      </c>
      <c r="B3" s="7" t="inlineStr">
        <is>
          <t>C6-01</t>
        </is>
      </c>
      <c r="C3" s="7" t="inlineStr">
        <is>
          <t>Should women with PIP breast implants have them removed?</t>
        </is>
      </c>
      <c r="D3" s="7" t="inlineStr"/>
      <c r="E3" s="7" t="inlineStr">
        <is>
          <t>Women with PIP breast implants should have them assessed by a doctor or plastic surgeon, but removal is not automatically necessary for everyone.</t>
        </is>
      </c>
      <c r="F3" s="7" t="inlineStr">
        <is>
          <t>closest topic</t>
        </is>
      </c>
      <c r="G3" s="7" t="inlineStr">
        <is>
          <t>As PIP&amp;Rofil implants showed shorter retention periods until rupture and ruptured implants can cause symptoms or health problems, PIP&amp;Rofil implants should be regularly monitored and explanted if there is evidence of rupture.</t>
        </is>
      </c>
      <c r="H3" s="7" t="inlineStr">
        <is>
          <t>direct causal</t>
        </is>
      </c>
      <c r="I3" s="7" t="inlineStr">
        <is>
          <t>met</t>
        </is>
      </c>
      <c r="J3" s="7" t="inlineStr">
        <is>
          <t>Yu et al. 2019 (PubMed)</t>
        </is>
      </c>
      <c r="K3" s="7" t="inlineStr"/>
      <c r="L3" s="7" t="n"/>
      <c r="M3" s="7">
        <f>IF(L3="","",IF((L3="met")=(I3="met"),1,0))</f>
        <v/>
      </c>
      <c r="N3" s="7" t="n"/>
    </row>
    <row r="4">
      <c r="A4" s="7" t="n">
        <v>2</v>
      </c>
      <c r="B4" s="7" t="inlineStr">
        <is>
          <t>C6-02</t>
        </is>
      </c>
      <c r="C4" s="7" t="inlineStr">
        <is>
          <t>Why was the cholesterol drug bococizumab discontinued?</t>
        </is>
      </c>
      <c r="D4" s="7" t="inlineStr"/>
      <c r="E4" s="7" t="inlineStr">
        <is>
          <t>Pfizer discontinued development of bococizumab, an experimental PCSK9 cholesterol-lowering drug, in November 2016 because its effectiveness declined over time and varied substantially among patients.</t>
        </is>
      </c>
      <c r="F4" s="7" t="inlineStr">
        <is>
          <t>causal wording</t>
        </is>
      </c>
      <c r="G4" s="7" t="inlineStr">
        <is>
          <t>In six multinational trials evaluating bococizumab, antidrug antibodies developed in a large proportion of the patients and significantly attenuated the lowering of LDL cholesterol levels.</t>
        </is>
      </c>
      <c r="H4" s="7" t="inlineStr">
        <is>
          <t>direct causal</t>
        </is>
      </c>
      <c r="I4" s="7" t="inlineStr">
        <is>
          <t>met</t>
        </is>
      </c>
      <c r="J4" s="7" t="inlineStr">
        <is>
          <t>Yu et al. 2019 (PubMed)</t>
        </is>
      </c>
      <c r="K4" s="7" t="inlineStr"/>
      <c r="L4" s="7" t="n"/>
      <c r="M4" s="7">
        <f>IF(L4="","",IF((L4="met")=(I4="met"),1,0))</f>
        <v/>
      </c>
      <c r="N4" s="7" t="n"/>
    </row>
    <row r="5">
      <c r="A5" s="7" t="n">
        <v>3</v>
      </c>
      <c r="B5" s="7" t="inlineStr">
        <is>
          <t>C6-03</t>
        </is>
      </c>
      <c r="C5" s="7" t="inlineStr">
        <is>
          <t>Can teaching caregivers parenting techniques improve children's cognitive development in Uganda?</t>
        </is>
      </c>
      <c r="D5" s="7" t="inlineStr"/>
      <c r="E5" s="7" t="inlineStr">
        <is>
          <t>Yes—teaching caregivers parenting techniques can improve children’s cognitive development in Uganda, particularly when the techniques encourage responsive interaction and early learning.</t>
        </is>
      </c>
      <c r="F5" s="7" t="inlineStr">
        <is>
          <t>causal wording</t>
        </is>
      </c>
      <c r="G5" s="7" t="inlineStr">
        <is>
          <t>MISC was effective in teaching Ugandan caregivers to enhance their childrens cognitive development through practical and sustainable techniques applied during daily interactions in the home.</t>
        </is>
      </c>
      <c r="H5" s="7" t="inlineStr">
        <is>
          <t>direct causal</t>
        </is>
      </c>
      <c r="I5" s="7" t="inlineStr">
        <is>
          <t>met</t>
        </is>
      </c>
      <c r="J5" s="7" t="inlineStr">
        <is>
          <t>Yu et al. 2019 (PubMed)</t>
        </is>
      </c>
      <c r="K5" s="7" t="inlineStr"/>
      <c r="L5" s="7" t="n"/>
      <c r="M5" s="7">
        <f>IF(L5="","",IF((L5="met")=(I5="met"),1,0))</f>
        <v/>
      </c>
      <c r="N5" s="7" t="n"/>
    </row>
    <row r="6">
      <c r="A6" s="7" t="n">
        <v>4</v>
      </c>
      <c r="B6" s="7" t="inlineStr">
        <is>
          <t>C6-04</t>
        </is>
      </c>
      <c r="C6" s="7" t="inlineStr">
        <is>
          <t>What causes cognitive decline in cancer patients during treatment?</t>
        </is>
      </c>
      <c r="D6" s="7" t="inlineStr"/>
      <c r="E6" s="7" t="inlineStr">
        <is>
          <t>Cognitive decline during cancer treatment, often called “chemo brain” or cancer-related cognitive impairment, usually has several contributing causes.</t>
        </is>
      </c>
      <c r="F6" s="7" t="inlineStr">
        <is>
          <t>causal wording</t>
        </is>
      </c>
      <c r="G6" s="7" t="inlineStr">
        <is>
          <t>Thus, treatment-related factors such as fatigue had a greater impact on cognitive decline than psychological factors.</t>
        </is>
      </c>
      <c r="H6" s="7" t="inlineStr">
        <is>
          <t>direct causal</t>
        </is>
      </c>
      <c r="I6" s="7" t="inlineStr">
        <is>
          <t>met</t>
        </is>
      </c>
      <c r="J6" s="7" t="inlineStr">
        <is>
          <t>Yu et al. 2019 (PubMed)</t>
        </is>
      </c>
      <c r="K6" s="7" t="inlineStr"/>
      <c r="L6" s="7" t="n"/>
      <c r="M6" s="7">
        <f>IF(L6="","",IF((L6="met")=(I6="met"),1,0))</f>
        <v/>
      </c>
      <c r="N6" s="7" t="n"/>
    </row>
    <row r="7">
      <c r="A7" s="7" t="n">
        <v>5</v>
      </c>
      <c r="B7" s="7" t="inlineStr">
        <is>
          <t>C6-05</t>
        </is>
      </c>
      <c r="C7" s="7" t="inlineStr">
        <is>
          <t>How does a Charcot foot wound affect the risk of amputation in people with diabetes?</t>
        </is>
      </c>
      <c r="D7" s="7" t="inlineStr"/>
      <c r="E7" s="7" t="inlineStr">
        <is>
          <t>An open wound or ulcer on a Charcot foot substantially increases the risk of amputation in someone with diabetes.</t>
        </is>
      </c>
      <c r="F7" s="7" t="inlineStr">
        <is>
          <t>causal wording</t>
        </is>
      </c>
      <c r="G7" s="7" t="inlineStr">
        <is>
          <t>The presence of a Charcot-related foot wound at presentation increased the likelihood of a major lower extremity amputation by a factor of 6.</t>
        </is>
      </c>
      <c r="H7" s="7" t="inlineStr">
        <is>
          <t>direct causal</t>
        </is>
      </c>
      <c r="I7" s="7" t="inlineStr">
        <is>
          <t>met</t>
        </is>
      </c>
      <c r="J7" s="7" t="inlineStr">
        <is>
          <t>Yu et al. 2019 (PubMed)</t>
        </is>
      </c>
      <c r="K7" s="7" t="inlineStr"/>
      <c r="L7" s="7" t="n"/>
      <c r="M7" s="7">
        <f>IF(L7="","",IF((L7="met")=(I7="met"),1,0))</f>
        <v/>
      </c>
      <c r="N7" s="7" t="n"/>
    </row>
    <row r="8">
      <c r="A8" s="7" t="n">
        <v>6</v>
      </c>
      <c r="B8" s="7" t="inlineStr">
        <is>
          <t>C6-06</t>
        </is>
      </c>
      <c r="C8" s="7" t="inlineStr">
        <is>
          <t>Does body contouring surgery after massive weight loss improve quality of life?</t>
        </is>
      </c>
      <c r="D8" s="7" t="inlineStr"/>
      <c r="E8" s="7" t="inlineStr">
        <is>
          <t>Yes—body contouring surgery after massive weight loss generally improves quality of life by removing excess skin that can cause discomfort, skin irritation, hygiene difficulties, and problems with movement or exercise.</t>
        </is>
      </c>
      <c r="F8" s="7" t="inlineStr">
        <is>
          <t>causal wording</t>
        </is>
      </c>
      <c r="G8" s="7" t="inlineStr">
        <is>
          <t>The quality of life of these patients, after massive weight loss, is also highly improved by these procedures.</t>
        </is>
      </c>
      <c r="H8" s="7" t="inlineStr">
        <is>
          <t>direct causal</t>
        </is>
      </c>
      <c r="I8" s="7" t="inlineStr">
        <is>
          <t>met</t>
        </is>
      </c>
      <c r="J8" s="7" t="inlineStr">
        <is>
          <t>Yu et al. 2019 (PubMed)</t>
        </is>
      </c>
      <c r="K8" s="7" t="inlineStr"/>
      <c r="L8" s="7" t="n"/>
      <c r="M8" s="7">
        <f>IF(L8="","",IF((L8="met")=(I8="met"),1,0))</f>
        <v/>
      </c>
      <c r="N8" s="7" t="n"/>
    </row>
    <row r="9">
      <c r="A9" s="7" t="n">
        <v>7</v>
      </c>
      <c r="B9" s="7" t="inlineStr">
        <is>
          <t>C6-07</t>
        </is>
      </c>
      <c r="C9" s="7" t="inlineStr">
        <is>
          <t>Does teprotumumab work for thyroid eye disease?</t>
        </is>
      </c>
      <c r="D9" s="7" t="inlineStr">
        <is>
          <t>Yes—teprotumumab (Tepezza) can reduce eye bulging, double vision, and inflammation caused by thyroid eye disease, although it does not work for everyone.</t>
        </is>
      </c>
      <c r="E9" s="7" t="inlineStr">
        <is>
          <t>In a major trial involving active disease, about 83% of treated patients had at least a 2 mm reduction in eye bulging after 24 weeks, compared with 10% receiving placebo.</t>
        </is>
      </c>
      <c r="F9" s="7" t="inlineStr">
        <is>
          <t>causal wording</t>
        </is>
      </c>
      <c r="G9" s="7" t="inlineStr">
        <is>
          <t>In patients with active ophthalmopathy, teprotumumab was more effective than placebo in reducing proptosis and the Clinical Activity Score.</t>
        </is>
      </c>
      <c r="H9" s="7" t="inlineStr">
        <is>
          <t>direct causal</t>
        </is>
      </c>
      <c r="I9" s="7" t="inlineStr">
        <is>
          <t>met</t>
        </is>
      </c>
      <c r="J9" s="7" t="inlineStr">
        <is>
          <t>Yu et al. 2019 (PubMed)</t>
        </is>
      </c>
      <c r="K9" s="7" t="inlineStr"/>
      <c r="L9" s="7" t="n"/>
      <c r="M9" s="7">
        <f>IF(L9="","",IF((L9="met")=(I9="met"),1,0))</f>
        <v/>
      </c>
      <c r="N9" s="7" t="n"/>
    </row>
    <row r="10">
      <c r="A10" s="7" t="n">
        <v>8</v>
      </c>
      <c r="B10" s="7" t="inlineStr">
        <is>
          <t>C6-08</t>
        </is>
      </c>
      <c r="C10" s="7" t="inlineStr">
        <is>
          <t>Do statins reduce inflammation in people with HIV?</t>
        </is>
      </c>
      <c r="D10" s="7" t="inlineStr"/>
      <c r="E10" s="7" t="inlineStr">
        <is>
          <t>Yes—statins can reduce some markers of inflammation and immune activation in people with HIV, although effects vary by statin and marker, and studies have not shown consistent reductions across all measures.</t>
        </is>
      </c>
      <c r="F10" s="7" t="inlineStr">
        <is>
          <t>causal wording</t>
        </is>
      </c>
      <c r="G10" s="7" t="inlineStr">
        <is>
          <t>In virologically suppressed individuals with HIV infection, atorvastatin did not significantly decrease levels of soluble or cellular biomarkers of immune activation and inflammation but resulted in robust reductions in LDL cholesterol, oxLDL, and lipoprotein-associated phospholipase A2, biomarkers associated with cardiovascular risk.</t>
        </is>
      </c>
      <c r="H10" s="7" t="inlineStr">
        <is>
          <t>direct causal</t>
        </is>
      </c>
      <c r="I10" s="7" t="inlineStr">
        <is>
          <t>met</t>
        </is>
      </c>
      <c r="J10" s="7" t="inlineStr">
        <is>
          <t>Yu et al. 2019 (PubMed)</t>
        </is>
      </c>
      <c r="K10" s="7" t="inlineStr"/>
      <c r="L10" s="7" t="n"/>
      <c r="M10" s="7">
        <f>IF(L10="","",IF((L10="met")=(I10="met"),1,0))</f>
        <v/>
      </c>
      <c r="N10" s="7" t="n"/>
    </row>
    <row r="11">
      <c r="A11" s="7" t="n">
        <v>9</v>
      </c>
      <c r="B11" s="7" t="inlineStr">
        <is>
          <t>C6-09</t>
        </is>
      </c>
      <c r="C11" s="7" t="inlineStr">
        <is>
          <t>What effects do bile acid sequestrants have on cholesterol and blood sugar?</t>
        </is>
      </c>
      <c r="D11" s="7" t="inlineStr">
        <is>
          <t>Bile acid sequestrants lower LDL (“bad”) cholesterol by binding bile acids in the intestine and preventing their reabsorption.</t>
        </is>
      </c>
      <c r="E11" s="7" t="inlineStr">
        <is>
          <t>This causes the liver to use more cholesterol to make replacement bile acids and remove more LDL from the blood.</t>
        </is>
      </c>
      <c r="F11" s="7" t="inlineStr">
        <is>
          <t>causal wording</t>
        </is>
      </c>
      <c r="G11" s="7" t="inlineStr">
        <is>
          <t>This meta-analysis suggests that therapy with BAS significantly improves HDL-C, LDL-C, and glycemic markers including fasting blood glucose, HbA1c levels, while deteriorating triglyceride levels.</t>
        </is>
      </c>
      <c r="H11" s="7" t="inlineStr">
        <is>
          <t>direct causal</t>
        </is>
      </c>
      <c r="I11" s="7" t="inlineStr">
        <is>
          <t>met</t>
        </is>
      </c>
      <c r="J11" s="7" t="inlineStr">
        <is>
          <t>Yu et al. 2019 (PubMed)</t>
        </is>
      </c>
      <c r="K11" s="7" t="inlineStr"/>
      <c r="L11" s="7" t="n"/>
      <c r="M11" s="7">
        <f>IF(L11="","",IF((L11="met")=(I11="met"),1,0))</f>
        <v/>
      </c>
      <c r="N11" s="7" t="n"/>
    </row>
    <row r="12">
      <c r="A12" s="7" t="n">
        <v>10</v>
      </c>
      <c r="B12" s="7" t="inlineStr">
        <is>
          <t>C6-10</t>
        </is>
      </c>
      <c r="C12" s="7" t="inlineStr">
        <is>
          <t>Is a vegan diet good for managing type 2 diabetes?</t>
        </is>
      </c>
      <c r="D12" s="7" t="inlineStr"/>
      <c r="E12" s="7" t="inlineStr">
        <is>
          <t>Yes—a well-planned vegan diet can help manage type 2 diabetes by improving blood sugar control and supporting weight management, though it is one of several effective eating patterns.</t>
        </is>
      </c>
      <c r="F12" s="7" t="inlineStr">
        <is>
          <t>causal wording</t>
        </is>
      </c>
      <c r="G12" s="7" t="inlineStr">
        <is>
          <t>"Both a low-fat vegan diet and a diet based on ADA guidelines improved glycemic and lipid control in type 2 diabetic patients."</t>
        </is>
      </c>
      <c r="H12" s="7" t="inlineStr">
        <is>
          <t>direct causal</t>
        </is>
      </c>
      <c r="I12" s="7" t="inlineStr">
        <is>
          <t>met</t>
        </is>
      </c>
      <c r="J12" s="7" t="inlineStr">
        <is>
          <t>Yu et al. 2019 (PubMed)</t>
        </is>
      </c>
      <c r="K12" s="7" t="inlineStr"/>
      <c r="L12" s="7" t="n"/>
      <c r="M12" s="7">
        <f>IF(L12="","",IF((L12="met")=(I12="met"),1,0))</f>
        <v/>
      </c>
      <c r="N12" s="7" t="n"/>
    </row>
    <row r="13">
      <c r="A13" s="7" t="n">
        <v>11</v>
      </c>
      <c r="B13" s="7" t="inlineStr">
        <is>
          <t>C6-11</t>
        </is>
      </c>
      <c r="C13" s="7" t="inlineStr">
        <is>
          <t>Why does sepsis weaken the immune system?</t>
        </is>
      </c>
      <c r="D13" s="7" t="inlineStr"/>
      <c r="E13" s="7" t="inlineStr">
        <is>
          <t>Sepsis weakens the immune system because the body’s response to an infection becomes dysregulated, causing both excessive inflammation and suppression of immune defenses.</t>
        </is>
      </c>
      <c r="F13" s="7" t="inlineStr">
        <is>
          <t>causal wording</t>
        </is>
      </c>
      <c r="G13" s="7" t="inlineStr">
        <is>
          <t>Depletion of the memory B-cell compartment contributes to the immunosuppression induced by sepsis.</t>
        </is>
      </c>
      <c r="H13" s="7" t="inlineStr">
        <is>
          <t>direct causal</t>
        </is>
      </c>
      <c r="I13" s="7" t="inlineStr">
        <is>
          <t>met</t>
        </is>
      </c>
      <c r="J13" s="7" t="inlineStr">
        <is>
          <t>Yu et al. 2019 (PubMed)</t>
        </is>
      </c>
      <c r="K13" s="7" t="inlineStr"/>
      <c r="L13" s="7" t="n"/>
      <c r="M13" s="7">
        <f>IF(L13="","",IF((L13="met")=(I13="met"),1,0))</f>
        <v/>
      </c>
      <c r="N13" s="7" t="n"/>
    </row>
    <row r="14">
      <c r="A14" s="7" t="n">
        <v>12</v>
      </c>
      <c r="B14" s="7" t="inlineStr">
        <is>
          <t>C6-12</t>
        </is>
      </c>
      <c r="C14" s="7" t="inlineStr">
        <is>
          <t>Does exercise improve thinking skills in children who are obese?</t>
        </is>
      </c>
      <c r="D14" s="7" t="inlineStr"/>
      <c r="E14" s="7" t="inlineStr">
        <is>
          <t>Yes—regular exercise can improve some thinking skills in children with obesity, particularly executive functions such as planning, attention, and self-control.</t>
        </is>
      </c>
      <c r="F14" s="7" t="inlineStr">
        <is>
          <t>causal wording</t>
        </is>
      </c>
      <c r="G14" s="7" t="inlineStr">
        <is>
          <t>Furthermore, these findings reveal that the benefits of physical activity to improvements in cognitive function are particularly evident among children who are obese.</t>
        </is>
      </c>
      <c r="H14" s="7" t="inlineStr">
        <is>
          <t>direct causal</t>
        </is>
      </c>
      <c r="I14" s="7" t="inlineStr">
        <is>
          <t>met</t>
        </is>
      </c>
      <c r="J14" s="7" t="inlineStr">
        <is>
          <t>Yu et al. 2019 (PubMed)</t>
        </is>
      </c>
      <c r="K14" s="7" t="inlineStr"/>
      <c r="L14" s="7" t="n"/>
      <c r="M14" s="7">
        <f>IF(L14="","",IF((L14="met")=(I14="met"),1,0))</f>
        <v/>
      </c>
      <c r="N14" s="7" t="n"/>
    </row>
    <row r="15">
      <c r="A15" s="7" t="n">
        <v>13</v>
      </c>
      <c r="B15" s="7" t="inlineStr">
        <is>
          <t>C6-13</t>
        </is>
      </c>
      <c r="C15" s="7" t="inlineStr">
        <is>
          <t>Can a phone call from a dietitian get menopausal women to eat more soy?</t>
        </is>
      </c>
      <c r="D15" s="7" t="inlineStr"/>
      <c r="E15" s="7" t="inlineStr">
        <is>
          <t>Yes—a brief phone call from a dietitian can help menopausal women increase their soy intake, particularly when it includes practical advice tailored to their preferences and usual meals.</t>
        </is>
      </c>
      <c r="F15" s="7" t="inlineStr">
        <is>
          <t>causal wording</t>
        </is>
      </c>
      <c r="G15" s="7" t="inlineStr">
        <is>
          <t>A brief telephone-based intervention with a focused message delivered by a registered dietitian is a feasible approach for encouraging targeted dietary changes, such as an increase in soy intake among peri- and postmenopausal women.</t>
        </is>
      </c>
      <c r="H15" s="7" t="inlineStr">
        <is>
          <t>direct causal</t>
        </is>
      </c>
      <c r="I15" s="7" t="inlineStr">
        <is>
          <t>met</t>
        </is>
      </c>
      <c r="J15" s="7" t="inlineStr">
        <is>
          <t>Yu et al. 2019 (PubMed)</t>
        </is>
      </c>
      <c r="K15" s="7" t="inlineStr"/>
      <c r="L15" s="7" t="n"/>
      <c r="M15" s="7">
        <f>IF(L15="","",IF((L15="met")=(I15="met"),1,0))</f>
        <v/>
      </c>
      <c r="N15" s="7" t="n"/>
    </row>
    <row r="16">
      <c r="A16" s="7" t="n">
        <v>14</v>
      </c>
      <c r="B16" s="7" t="inlineStr">
        <is>
          <t>C6-14</t>
        </is>
      </c>
      <c r="C16" s="7" t="inlineStr">
        <is>
          <t>How do personalized nutrition studies give diet advice to participants?</t>
        </is>
      </c>
      <c r="D16" s="7" t="inlineStr"/>
      <c r="E16" s="7" t="inlineStr">
        <is>
          <t>Personalized nutrition studies give participants diet advice tailored to information such as their usual food intake, health goals, medical history, and body measurements.</t>
        </is>
      </c>
      <c r="F16" s="7" t="inlineStr">
        <is>
          <t>closest topic</t>
        </is>
      </c>
      <c r="G16" s="7" t="inlineStr">
        <is>
          <t>The dietary feedback system was used to deliver personalized dietary advice within a multi-country study.</t>
        </is>
      </c>
      <c r="H16" s="7" t="inlineStr">
        <is>
          <t>no relationship</t>
        </is>
      </c>
      <c r="I16" s="7" t="inlineStr">
        <is>
          <t>not_met</t>
        </is>
      </c>
      <c r="J16" s="7" t="inlineStr">
        <is>
          <t>Yu et al. 2019 (PubMed)</t>
        </is>
      </c>
      <c r="K16" s="7" t="inlineStr"/>
      <c r="L16" s="7" t="n"/>
      <c r="M16" s="7">
        <f>IF(L16="","",IF((L16="met")=(I16="met"),1,0))</f>
        <v/>
      </c>
      <c r="N16" s="7" t="n"/>
    </row>
    <row r="17">
      <c r="A17" s="7" t="n">
        <v>15</v>
      </c>
      <c r="B17" s="7" t="inlineStr">
        <is>
          <t>C6-15</t>
        </is>
      </c>
      <c r="C17" s="7" t="inlineStr">
        <is>
          <t>What is FGF21, and how is it linked to blood vessel health in dialysis patients?</t>
        </is>
      </c>
      <c r="D17" s="7" t="inlineStr">
        <is>
          <t>FGF21 (fibroblast growth factor 21) is a hormone produced mainly by the liver that helps regulate sugar and fat metabolism and the body’s response to stress. / Its blood levels are often markedly elevated in dialysis patients, partly because failing kidneys clear it less effectively and metabolic stress may increase its production.</t>
        </is>
      </c>
      <c r="E17" s="7" t="inlineStr">
        <is>
          <t>In hemodialysis patients, higher FGF21 levels have been associated with poorer function of the blood vessel lining, reduced ability of arteries to widen, and greater arterial stiffness.</t>
        </is>
      </c>
      <c r="F17" s="7" t="inlineStr">
        <is>
          <t>causal wording</t>
        </is>
      </c>
      <c r="G17" s="7" t="inlineStr">
        <is>
          <t>Endothelial dysfunction is associated with high FGF21 in HD patients.</t>
        </is>
      </c>
      <c r="H17" s="7" t="inlineStr">
        <is>
          <t>correlational</t>
        </is>
      </c>
      <c r="I17" s="7" t="inlineStr">
        <is>
          <t>not_met</t>
        </is>
      </c>
      <c r="J17" s="7" t="inlineStr">
        <is>
          <t>Yu et al. 2019 (PubMed)</t>
        </is>
      </c>
      <c r="K17" s="7" t="inlineStr"/>
      <c r="L17" s="7" t="n"/>
      <c r="M17" s="7">
        <f>IF(L17="","",IF((L17="met")=(I17="met"),1,0))</f>
        <v/>
      </c>
      <c r="N17" s="7" t="n"/>
    </row>
    <row r="18">
      <c r="A18" s="7" t="n">
        <v>16</v>
      </c>
      <c r="B18" s="7" t="inlineStr">
        <is>
          <t>C6-16</t>
        </is>
      </c>
      <c r="C18" s="7" t="inlineStr">
        <is>
          <t>How have schools and families changed how they manage meals for children with special diets?</t>
        </is>
      </c>
      <c r="D18" s="7" t="inlineStr"/>
      <c r="E18" s="7" t="inlineStr">
        <is>
          <t>Schools and families have increasingly moved from informal meal adjustments to more coordinated plans for children with food allergies, intolerances, religious restrictions, or other dietary needs.</t>
        </is>
      </c>
      <c r="F18" s="7" t="inlineStr">
        <is>
          <t>causal wording</t>
        </is>
      </c>
      <c r="G18" s="7" t="inlineStr">
        <is>
          <t>An improvement can be observed: a transition from a suspicion about special diet management to an appropriate and responsible management of meals for children and young people suffering from this specific condition."</t>
        </is>
      </c>
      <c r="H18" s="7" t="inlineStr">
        <is>
          <t>correlational</t>
        </is>
      </c>
      <c r="I18" s="7" t="inlineStr">
        <is>
          <t>not_met</t>
        </is>
      </c>
      <c r="J18" s="7" t="inlineStr">
        <is>
          <t>Yu et al. 2019 (PubMed)</t>
        </is>
      </c>
      <c r="K18" s="7" t="inlineStr"/>
      <c r="L18" s="7" t="n"/>
      <c r="M18" s="7">
        <f>IF(L18="","",IF((L18="met")=(I18="met"),1,0))</f>
        <v/>
      </c>
      <c r="N18" s="7" t="n"/>
    </row>
    <row r="19">
      <c r="A19" s="7" t="n">
        <v>17</v>
      </c>
      <c r="B19" s="7" t="inlineStr">
        <is>
          <t>C6-17</t>
        </is>
      </c>
      <c r="C19" s="7" t="inlineStr">
        <is>
          <t>Do sugary drinks increase the risk of type 2 diabetes?</t>
        </is>
      </c>
      <c r="D19" s="7" t="inlineStr">
        <is>
          <t>Regularly drinking sugar-sweetened beverages, such as soda, sweetened tea, and sports drinks, is associated with a higher risk of type 2 diabetes.</t>
        </is>
      </c>
      <c r="E19" s="7" t="inlineStr">
        <is>
          <t>These drinks can contribute to weight gain, a major risk factor, and research suggests the association also persists beyond their effects on body weight.</t>
        </is>
      </c>
      <c r="F19" s="7" t="inlineStr">
        <is>
          <t>causal wording</t>
        </is>
      </c>
      <c r="G19" s="7" t="inlineStr">
        <is>
          <t>Habitual consumption of sugar sweetened beverages was associated with a greater incidence of type 2 diabetes, independently of adiposity.</t>
        </is>
      </c>
      <c r="H19" s="7" t="inlineStr">
        <is>
          <t>correlational</t>
        </is>
      </c>
      <c r="I19" s="7" t="inlineStr">
        <is>
          <t>not_met</t>
        </is>
      </c>
      <c r="J19" s="7" t="inlineStr">
        <is>
          <t>Yu et al. 2019 (PubMed)</t>
        </is>
      </c>
      <c r="K19" s="7" t="inlineStr"/>
      <c r="L19" s="7" t="n"/>
      <c r="M19" s="7">
        <f>IF(L19="","",IF((L19="met")=(I19="met"),1,0))</f>
        <v/>
      </c>
      <c r="N19" s="7" t="n"/>
    </row>
    <row r="20">
      <c r="A20" s="7" t="n">
        <v>18</v>
      </c>
      <c r="B20" s="7" t="inlineStr">
        <is>
          <t>C6-18</t>
        </is>
      </c>
      <c r="C20" s="7" t="inlineStr">
        <is>
          <t>Which older adults are most likely to be prescribed potentially inappropriate medications?</t>
        </is>
      </c>
      <c r="D20" s="7" t="inlineStr">
        <is>
          <t>Older adults most likely to be prescribed potentially inappropriate medications are those taking many medicines, especially people with several chronic conditions and prescriptions from multiple clinicians.</t>
        </is>
      </c>
      <c r="E20" s="7" t="inlineStr">
        <is>
          <t>Adults with frailty, dementia, or reduced kidney function are particularly vulnerable because some medications may pose greater risks for them.</t>
        </is>
      </c>
      <c r="F20" s="7" t="inlineStr">
        <is>
          <t>causal wording</t>
        </is>
      </c>
      <c r="G20" s="7" t="inlineStr">
        <is>
          <t>Female gender, a poor functional status and polypharmacy, are the characteristics linked to their use.</t>
        </is>
      </c>
      <c r="H20" s="7" t="inlineStr">
        <is>
          <t>correlational</t>
        </is>
      </c>
      <c r="I20" s="7" t="inlineStr">
        <is>
          <t>not_met</t>
        </is>
      </c>
      <c r="J20" s="7" t="inlineStr">
        <is>
          <t>Yu et al. 2019 (PubMed)</t>
        </is>
      </c>
      <c r="K20" s="7" t="inlineStr"/>
      <c r="L20" s="7" t="n"/>
      <c r="M20" s="7">
        <f>IF(L20="","",IF((L20="met")=(I20="met"),1,0))</f>
        <v/>
      </c>
      <c r="N20" s="7" t="n"/>
    </row>
    <row r="21">
      <c r="A21" s="7" t="n">
        <v>19</v>
      </c>
      <c r="B21" s="7" t="inlineStr">
        <is>
          <t>C6-19</t>
        </is>
      </c>
      <c r="C21" s="7" t="inlineStr">
        <is>
          <t>Why do some children drink more sugary drinks than others?</t>
        </is>
      </c>
      <c r="D21" s="7" t="inlineStr"/>
      <c r="E21" s="7" t="inlineStr">
        <is>
          <t>Some children drink more sugary drinks than others because of differences in taste preferences, family habits, and what’s available at home or school.</t>
        </is>
      </c>
      <c r="F21" s="7" t="inlineStr">
        <is>
          <t>causal wording</t>
        </is>
      </c>
      <c r="G21" s="7" t="inlineStr">
        <is>
          <t>Also, the relationships between these factors and the childs SSB intake differed for children with distinct ethnic backgrounds.</t>
        </is>
      </c>
      <c r="H21" s="7" t="inlineStr">
        <is>
          <t>correlational</t>
        </is>
      </c>
      <c r="I21" s="7" t="inlineStr">
        <is>
          <t>not_met</t>
        </is>
      </c>
      <c r="J21" s="7" t="inlineStr">
        <is>
          <t>Yu et al. 2019 (PubMed)</t>
        </is>
      </c>
      <c r="K21" s="7" t="inlineStr"/>
      <c r="L21" s="7" t="n"/>
      <c r="M21" s="7">
        <f>IF(L21="","",IF((L21="met")=(I21="met"),1,0))</f>
        <v/>
      </c>
      <c r="N21" s="7" t="n"/>
    </row>
    <row r="22">
      <c r="A22" s="7" t="n">
        <v>20</v>
      </c>
      <c r="B22" s="7" t="inlineStr">
        <is>
          <t>C6-20</t>
        </is>
      </c>
      <c r="C22" s="7" t="inlineStr">
        <is>
          <t>How should vitamin D levels be monitored in children receiving vitamin D injections?</t>
        </is>
      </c>
      <c r="D22" s="7" t="inlineStr"/>
      <c r="E22" s="7" t="inlineStr">
        <is>
          <t>Children receiving vitamin D injections should have blood levels of 25-hydroxyvitamin D checked before treatment and again afterward, with timing tailored to their age, injection dose, and underlying condition.</t>
        </is>
      </c>
      <c r="F22" s="7" t="inlineStr">
        <is>
          <t>closest topic</t>
        </is>
      </c>
      <c r="G22" s="7" t="inlineStr">
        <is>
          <t>For regular monitoring, only ALP assay is recommended, provided one abstains from repeat injection of vitamin D based on high ALP levels.</t>
        </is>
      </c>
      <c r="H22" s="7" t="inlineStr">
        <is>
          <t>no relationship</t>
        </is>
      </c>
      <c r="I22" s="7" t="inlineStr">
        <is>
          <t>not_met</t>
        </is>
      </c>
      <c r="J22" s="7" t="inlineStr">
        <is>
          <t>Yu et al. 2019 (PubMed)</t>
        </is>
      </c>
      <c r="K22" s="7" t="inlineStr"/>
      <c r="L22" s="7" t="n"/>
      <c r="M22" s="7">
        <f>IF(L22="","",IF((L22="met")=(I22="met"),1,0))</f>
        <v/>
      </c>
      <c r="N22" s="7" t="n"/>
    </row>
    <row r="23">
      <c r="A23" s="7" t="n">
        <v>21</v>
      </c>
      <c r="B23" s="7" t="inlineStr">
        <is>
          <t>C6-21</t>
        </is>
      </c>
      <c r="C23" s="7" t="inlineStr">
        <is>
          <t>Do pain medications that work for diabetic nerve pain work for other kinds of nerve pain?</t>
        </is>
      </c>
      <c r="D23" s="7" t="inlineStr"/>
      <c r="E23" s="7" t="inlineStr">
        <is>
          <t>Yes—many medicines used for diabetic nerve pain also help with other kinds of nerve pain because they act on shared pain pathways.</t>
        </is>
      </c>
      <c r="F23" s="7" t="inlineStr">
        <is>
          <t>causal wording</t>
        </is>
      </c>
      <c r="G23" s="7" t="inlineStr">
        <is>
          <t>These data support the potential for extrapolating analgesic efficacy to other neuropathic pain conditions.</t>
        </is>
      </c>
      <c r="H23" s="7" t="inlineStr">
        <is>
          <t>no relationship</t>
        </is>
      </c>
      <c r="I23" s="7" t="inlineStr">
        <is>
          <t>not_met</t>
        </is>
      </c>
      <c r="J23" s="7" t="inlineStr">
        <is>
          <t>Yu et al. 2019 (PubMed)</t>
        </is>
      </c>
      <c r="K23" s="7" t="inlineStr"/>
      <c r="L23" s="7" t="n"/>
      <c r="M23" s="7">
        <f>IF(L23="","",IF((L23="met")=(I23="met"),1,0))</f>
        <v/>
      </c>
      <c r="N23" s="7" t="n"/>
    </row>
    <row r="24">
      <c r="A24" s="7" t="n">
        <v>22</v>
      </c>
      <c r="B24" s="7" t="inlineStr">
        <is>
          <t>C6-22</t>
        </is>
      </c>
      <c r="C24" s="7" t="inlineStr">
        <is>
          <t>Do highly active women get enough B vitamins?</t>
        </is>
      </c>
      <c r="D24" s="7" t="inlineStr">
        <is>
          <t>Women who eat too little to meet their training needs, restrict food groups, or follow a vegan diet without reliable vitamin B12 sources may be at greater risk of deficiency. / Whole grains, legumes, leafy greens, eggs, dairy, and fortified foods provide different B vitamins.</t>
        </is>
      </c>
      <c r="E24" s="7" t="inlineStr">
        <is>
          <t>Supplements generally won’t improve performance when intake is already adequate; persistent fatigue or concerns about deficiency are reasons to consult a healthcare professional.</t>
        </is>
      </c>
      <c r="F24" s="7" t="inlineStr">
        <is>
          <t>causal wording</t>
        </is>
      </c>
      <c r="G24" s="7" t="inlineStr">
        <is>
          <t>This nutrition assessment documented good status for folate, vitamin B6, and vitamin B12 in the highly active women.</t>
        </is>
      </c>
      <c r="H24" s="7" t="inlineStr">
        <is>
          <t>no relationship</t>
        </is>
      </c>
      <c r="I24" s="7" t="inlineStr">
        <is>
          <t>not_met</t>
        </is>
      </c>
      <c r="J24" s="7" t="inlineStr">
        <is>
          <t>Yu et al. 2019 (PubMed)</t>
        </is>
      </c>
      <c r="K24" s="7" t="inlineStr"/>
      <c r="L24" s="7" t="n"/>
      <c r="M24" s="7">
        <f>IF(L24="","",IF((L24="met")=(I24="met"),1,0))</f>
        <v/>
      </c>
      <c r="N24" s="7" t="n"/>
    </row>
    <row r="25">
      <c r="A25" s="7" t="n">
        <v>23</v>
      </c>
      <c r="B25" s="7" t="inlineStr">
        <is>
          <t>C6-23</t>
        </is>
      </c>
      <c r="C25" s="7" t="inlineStr">
        <is>
          <t>Do children keep the weight off after an obesity program ends?</t>
        </is>
      </c>
      <c r="D25" s="7" t="inlineStr">
        <is>
          <t>Some children keep weight off after an obesity program ends, but results vary, and weight regain is common when ongoing support stops. / For children who are still growing, success may mean maintaining their weight or gaining more slowly as they get taller, rather than losing weight.</t>
        </is>
      </c>
      <c r="E25" s="7" t="inlineStr">
        <is>
          <t>Family involvement, sustainable habits, and continued follow-up can help maintain improvements.</t>
        </is>
      </c>
      <c r="F25" s="7" t="inlineStr">
        <is>
          <t>causal wording</t>
        </is>
      </c>
      <c r="G25" s="7" t="inlineStr">
        <is>
          <t>Weight status of intervention participants did not rebound 6 months after programming.</t>
        </is>
      </c>
      <c r="H25" s="7" t="inlineStr">
        <is>
          <t>no relationship</t>
        </is>
      </c>
      <c r="I25" s="7" t="inlineStr">
        <is>
          <t>not_met</t>
        </is>
      </c>
      <c r="J25" s="7" t="inlineStr">
        <is>
          <t>Yu et al. 2019 (PubMed)</t>
        </is>
      </c>
      <c r="K25" s="7" t="inlineStr"/>
      <c r="L25" s="7" t="n"/>
      <c r="M25" s="7">
        <f>IF(L25="","",IF((L25="met")=(I25="met"),1,0))</f>
        <v/>
      </c>
      <c r="N25" s="7" t="n"/>
    </row>
    <row r="26">
      <c r="A26" s="7" t="n">
        <v>24</v>
      </c>
      <c r="B26" s="7" t="inlineStr">
        <is>
          <t>C6-24</t>
        </is>
      </c>
      <c r="C26" s="7" t="inlineStr">
        <is>
          <t>Do older patients usually get high-dose statins?</t>
        </is>
      </c>
      <c r="D26" s="7" t="inlineStr">
        <is>
          <t>Older patients do not automatically receive high-dose statins; the choice depends on their cardiovascular risk, overall health, and ability to tolerate treatment. / Older adults who have had a heart attack, stroke, or other cardiovascular disease may benefit from a high-intensity statin if they tolerate it well.</t>
        </is>
      </c>
      <c r="E26" s="7" t="inlineStr">
        <is>
          <t>For people over 75 without known cardiovascular disease, starting a statin—and choosing its intensity—is more individualized because evidence is less certain.</t>
        </is>
      </c>
      <c r="F26" s="7" t="inlineStr">
        <is>
          <t>causal wording</t>
        </is>
      </c>
      <c r="G26" s="7" t="inlineStr">
        <is>
          <t>Statin therapy in this population rarely went beyond low-moderate doses.</t>
        </is>
      </c>
      <c r="H26" s="7" t="inlineStr">
        <is>
          <t>no relationship</t>
        </is>
      </c>
      <c r="I26" s="7" t="inlineStr">
        <is>
          <t>not_met</t>
        </is>
      </c>
      <c r="J26" s="7" t="inlineStr">
        <is>
          <t>Yu et al. 2019 (PubMed)</t>
        </is>
      </c>
      <c r="K26" s="7" t="inlineStr"/>
      <c r="L26" s="7" t="n"/>
      <c r="M26" s="7">
        <f>IF(L26="","",IF((L26="met")=(I26="met"),1,0))</f>
        <v/>
      </c>
      <c r="N26" s="7" t="n"/>
    </row>
    <row r="27">
      <c r="A27" s="7" t="n">
        <v>25</v>
      </c>
      <c r="B27" s="7" t="inlineStr">
        <is>
          <t>C6-25</t>
        </is>
      </c>
      <c r="C27" s="7" t="inlineStr">
        <is>
          <t>What treatments are being studied for triple-negative breast cancer?</t>
        </is>
      </c>
      <c r="D27" s="7" t="inlineStr">
        <is>
          <t>Another major focus is antibody–drug conjugates, which deliver chemotherapy directly to cancer cells, including new drugs and expanded uses of existing ones. / Trials also explore targeted treatments such as PARP inhibitors, particularly for cancers with BRCA-related DNA-repair defects, and ways to combine these medicines with other therapies.</t>
        </is>
      </c>
      <c r="E27" s="7" t="inlineStr">
        <is>
          <t>Some treatments in these categories are already approved for certain patients, while others remain experimental.</t>
        </is>
      </c>
      <c r="F27" s="7" t="inlineStr">
        <is>
          <t>closest topic</t>
        </is>
      </c>
      <c r="G27" s="7" t="inlineStr">
        <is>
          <t>"Further evaluation in a randomized trial enrolling TNBC patients is warranted."</t>
        </is>
      </c>
      <c r="H27" s="7" t="inlineStr">
        <is>
          <t>no relationship</t>
        </is>
      </c>
      <c r="I27" s="7" t="inlineStr">
        <is>
          <t>not_met</t>
        </is>
      </c>
      <c r="J27" s="7" t="inlineStr">
        <is>
          <t>Yu et al. 2019 (PubMed)</t>
        </is>
      </c>
      <c r="K27" s="7" t="inlineStr"/>
      <c r="L27" s="7" t="n"/>
      <c r="M27" s="7">
        <f>IF(L27="","",IF((L27="met")=(I27="met"),1,0))</f>
        <v/>
      </c>
      <c r="N27" s="7" t="n"/>
    </row>
  </sheetData>
  <mergeCells count="1">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selection activeCell="A1" sqref="A1"/>
    </sheetView>
  </sheetViews>
  <sheetFormatPr baseColWidth="8" defaultRowHeight="15"/>
  <cols>
    <col width="8" customWidth="1" min="1" max="1"/>
    <col width="40" customWidth="1" min="2" max="2"/>
    <col width="100" customWidth="1" min="3" max="3"/>
    <col width="30" customWidth="1" min="4" max="4"/>
  </cols>
  <sheetData>
    <row r="1">
      <c r="A1" s="6" t="inlineStr">
        <is>
          <t>ID</t>
        </is>
      </c>
      <c r="B1" s="6" t="inlineStr">
        <is>
          <t>Question asked</t>
        </is>
      </c>
      <c r="C1" s="6" t="inlineStr">
        <is>
          <t>Full answer</t>
        </is>
      </c>
      <c r="D1" s="6" t="inlineStr">
        <is>
          <t>Answered by</t>
        </is>
      </c>
    </row>
    <row r="2">
      <c r="A2" s="7" t="inlineStr">
        <is>
          <t>C1-01</t>
        </is>
      </c>
      <c r="B2" s="7" t="inlineStr">
        <is>
          <t>What is the Derker area of Oldham like, and why is it being redeveloped?</t>
        </is>
      </c>
      <c r="C2" s="7" t="inlineStr">
        <is>
          <t>Derker is a largely residential area northeast of Oldham town centre, with a strong industrial heritage and streets of traditional terraced housing alongside newer homes. It has an established community and convenient tram links to Oldham and Manchester, although parts of the area have experienced deprivation, poor housing conditions and an unattractive local environment. Its redevelopment began under the Housing Market Renewal programme, which aimed to address low demand for older housing and encourage investment. The work has involved clearing some older terraces, building replacement homes and improving streets and public spaces. The process has also been controversial, particularly where demolition displaced residents or removed homes that people felt could have been refurbished.</t>
        </is>
      </c>
      <c r="D2" s="7" t="inlineStr">
        <is>
          <t>GPT-6.1-Sol (reasoning low), via codex exec 0.164.0</t>
        </is>
      </c>
    </row>
    <row r="3">
      <c r="A3" s="7" t="inlineStr">
        <is>
          <t>C1-02</t>
        </is>
      </c>
      <c r="B3" s="7" t="inlineStr">
        <is>
          <t>Which airline operates the most Boeing 777s, and has any airline flown every 777 variant?</t>
        </is>
      </c>
      <c r="C3" s="7" t="inlineStr">
        <is>
          <t>Emirates operates the world’s largest Boeing 777 fleet, with well over 100 aircraft. It has also flown all six original production variants: the 777-200, 777-200ER, 777-200LR, 777-300, 777-300ER, and 777 Freighter. Those aircraft have served across its passenger network and Emirates SkyCargo operations, although some earlier variants have since been retired. “Every variant” here refers to the original 777 family, excluding the newer 777X models.</t>
        </is>
      </c>
      <c r="D3" s="7" t="inlineStr">
        <is>
          <t>GPT-6.1-Sol (reasoning low), via codex exec 0.164.0</t>
        </is>
      </c>
    </row>
    <row r="4">
      <c r="A4" s="7" t="inlineStr">
        <is>
          <t>C1-03</t>
        </is>
      </c>
      <c r="B4" s="7" t="inlineStr">
        <is>
          <t>What is the scoreboard like at First Tennessee Park in Nashville?</t>
        </is>
      </c>
      <c r="C4" s="7" t="inlineStr">
        <is>
          <t>The scoreboard at First Tennessee Park in Nashville is a giant guitar, a fitting tribute to Music City. It stands beyond the right-center-field wall, with a large video screen built into the guitar’s body and scoreboard displays running along its neck. Fans can watch replays, player introductions, and game information on the display. Its colorful, distinctive design makes it one of the ballpark’s signature features.</t>
        </is>
      </c>
      <c r="D4" s="7" t="inlineStr">
        <is>
          <t>GPT-6.1-Sol (reasoning low), via codex exec 0.164.0</t>
        </is>
      </c>
    </row>
    <row r="5">
      <c r="A5" s="7" t="inlineStr">
        <is>
          <t>C1-04</t>
        </is>
      </c>
      <c r="B5" s="7" t="inlineStr">
        <is>
          <t>How did Norwich City F.C. do in the 1930s?</t>
        </is>
      </c>
      <c r="C5" s="7" t="inlineStr">
        <is>
          <t>Norwich City spent the early 1930s in the Third Division South before winning the title in the 1933–34 season, earning promotion to the Second Division for the first time. They spent five seasons at that level, generally finishing in the lower half of the table. In 1935, the club moved from its old ground, The Nest, to Carrow Road, which remains its home today. Norwich finished bottom of the Second Division in 1938–39 and were relegated, ending a decade that had brought both a major breakthrough and disappointment.</t>
        </is>
      </c>
      <c r="D5" s="7" t="inlineStr">
        <is>
          <t>GPT-6.1-Sol (reasoning low), via codex exec 0.164.0</t>
        </is>
      </c>
    </row>
    <row r="6">
      <c r="A6" s="7" t="inlineStr">
        <is>
          <t>C1-05</t>
        </is>
      </c>
      <c r="B6" s="7" t="inlineStr">
        <is>
          <t>Would double summer time in the UK reduce road deaths?</t>
        </is>
      </c>
      <c r="C6" s="7" t="inlineStr">
        <is>
          <t>Double summer time—putting UK clocks one hour ahead of their current settings throughout the year—would probably reduce road deaths overall by shifting daylight into the busier afternoon and evening travel periods. Although darker mornings could increase some risks, research has generally suggested that fewer evening casualties would outweigh additional morning casualties. However, the evidence relies partly on older studies and modelling, so the size of any benefit is uncertain. The effects would also vary geographically, with Scotland and other northern areas experiencing particularly late winter sunrises. It is therefore a plausible road-safety measure, but not a guaranteed reduction in deaths.</t>
        </is>
      </c>
      <c r="D6" s="7" t="inlineStr">
        <is>
          <t>GPT-6.1-Sol (reasoning low), via codex exec 0.164.0</t>
        </is>
      </c>
    </row>
    <row r="7">
      <c r="A7" s="7" t="inlineStr">
        <is>
          <t>C1-06</t>
        </is>
      </c>
      <c r="B7" s="7" t="inlineStr">
        <is>
          <t>Why did Turok: Dinosaur Hunter for the Nintendo 64 face sales problems at launch?</t>
        </is>
      </c>
      <c r="C7" s="7" t="inlineStr">
        <is>
          <t>*Turok: Dinosaur Hunter* faced concerns about its launch sales mainly because of its high price and mature content. It cost about $79.99 in the United States and £70 in the United Kingdom, making it an expensive purchase. Its ESRB Mature rating also threatened to limit its audience, as parents might hesitate to buy it for their children. These were potential obstacles rather than signs of a commercial failure: the game ultimately became a major success for Acclaim. ([Source](https://en.wikipedia.org/wiki/Turok%3A_Dinosaur_Hunter))</t>
        </is>
      </c>
      <c r="D7" s="7" t="inlineStr">
        <is>
          <t>GPT-6.1-Sol (reasoning low), via codex exec 0.164.0</t>
        </is>
      </c>
    </row>
    <row r="8">
      <c r="A8" s="7" t="inlineStr">
        <is>
          <t>C1-07</t>
        </is>
      </c>
      <c r="B8" s="7" t="inlineStr">
        <is>
          <t>How was Nelson's Pillar in Dublin paid for, and what did it cost to build?</t>
        </is>
      </c>
      <c r="C8" s="7" t="inlineStr">
        <is>
          <t>Nelson’s Pillar in Dublin was paid for by public subscription, with voluntary donations collected after Admiral Horatio Nelson’s death at the Battle of Trafalgar in 1805. Merchants, bankers and other prominent citizens contributed to the fund, though support for the monument was not universal. It cost approximately £6,700 to build, with the total commonly given as £6,714. The pillar was unveiled in 1809 on Sackville Street, now O’Connell Street.</t>
        </is>
      </c>
      <c r="D8" s="7" t="inlineStr">
        <is>
          <t>GPT-6.1-Sol (reasoning low), via codex exec 0.164.0</t>
        </is>
      </c>
    </row>
    <row r="9">
      <c r="A9" s="7" t="inlineStr">
        <is>
          <t>C1-08</t>
        </is>
      </c>
      <c r="B9" s="7" t="inlineStr">
        <is>
          <t>How popular is hare coursing in Ireland, and what is the main event?</t>
        </is>
      </c>
      <c r="C9" s="7" t="inlineStr">
        <is>
          <t>Hare coursing has a long tradition in Ireland and a dedicated following, particularly in rural communities, though it remains a niche and controversial sport. Events involve pairs of greyhounds chasing a live hare, with the dogs judged on their ability to turn it. The main event is the National Coursing Meeting, held annually at Powerstown Park in Clonmel, County Tipperary, usually around late January or early February. It attracts competitors and spectators from across Ireland, with the National Derby and National Oaks among its most prestigious contests.</t>
        </is>
      </c>
      <c r="D9" s="7" t="inlineStr">
        <is>
          <t>GPT-6.1-Sol (reasoning low), via codex exec 0.164.0</t>
        </is>
      </c>
    </row>
    <row r="10">
      <c r="A10" s="7" t="inlineStr">
        <is>
          <t>C1-09</t>
        </is>
      </c>
      <c r="B10" s="7" t="inlineStr">
        <is>
          <t>Why is the yellow-billed nuthatch endangered on Hainan?</t>
        </is>
      </c>
      <c r="C10" s="7" t="inlineStr">
        <is>
          <t>The nuthatch endangered on Hainan is usually called the Hainan nuthatch, rather than the yellow-billed nuthatch. Its main threat is the loss and fragmentation of its forest habitat through logging and conversion to plantations and farmland. It depends on mature trees for feeding and nesting, so younger plantations cannot fully replace its natural habitat. Its small population and restricted island range also make it especially vulnerable to further habitat damage and extreme weather.</t>
        </is>
      </c>
      <c r="D10" s="7" t="inlineStr">
        <is>
          <t>GPT-6.1-Sol (reasoning low), via codex exec 0.164.0</t>
        </is>
      </c>
    </row>
    <row r="11">
      <c r="A11" s="7" t="inlineStr">
        <is>
          <t>C1-10</t>
        </is>
      </c>
      <c r="B11" s="7" t="inlineStr">
        <is>
          <t>What did Australian swimmer Faith Leech achieve before the 1956 Olympics?</t>
        </is>
      </c>
      <c r="C11" s="7" t="inlineStr">
        <is>
          <t>Before the 1956 Melbourne Olympics, Faith Leech had become one of Australia’s leading freestyle swimmers. In 1955, she set an Australian record for the 110-yard freestyle while still only 14. In 1956, she won the national title in that event, becoming the youngest swimmer to win an Australian open championship. These achievements earned her a place on Australia’s Olympic team at the age of 15.</t>
        </is>
      </c>
      <c r="D11" s="7" t="inlineStr">
        <is>
          <t>GPT-6.1-Sol (reasoning low), via codex exec 0.164.0</t>
        </is>
      </c>
    </row>
    <row r="12">
      <c r="A12" s="7" t="inlineStr">
        <is>
          <t>C1-11</t>
        </is>
      </c>
      <c r="B12" s="7" t="inlineStr">
        <is>
          <t>How did WWE's December to Dismember 2006 do in attendance and pay-per-view buys?</t>
        </is>
      </c>
      <c r="C12" s="7" t="inlineStr">
        <is>
          <t>WWE’s December to Dismember 2006 drew approximately 4,800 fans to the James Brown Arena in Augusta, Georgia, on December 3, 2006. The ECW-branded event generated about 90,000 worldwide pay-per-view buys. That was the lowest buy rate for a WWE pay-per-view at the time, making it a major commercial disappointment. It was also the only December to Dismember event produced by WWE.</t>
        </is>
      </c>
      <c r="D12" s="7" t="inlineStr">
        <is>
          <t>GPT-6.1-Sol (reasoning low), via codex exec 0.164.0</t>
        </is>
      </c>
    </row>
    <row r="13">
      <c r="A13" s="7" t="inlineStr">
        <is>
          <t>C1-12</t>
        </is>
      </c>
      <c r="B13" s="7" t="inlineStr">
        <is>
          <t>How was the extension of California State Route 52 to SR 67 funded?</t>
        </is>
      </c>
      <c r="C13" s="7" t="inlineStr">
        <is>
          <t>The extension of California State Route 52 east from SR 125 to SR 67 was funded through a combination of state, federal, and local money. The local contribution came from TransNet, San Diego County’s half-cent transportation sales tax, while state funding included voter-approved Proposition 1B transportation bonds. Those bonds helped resolve funding delays and allowed major construction to begin in 2008. The project cost approximately $520 million and was completed in 2011. ([SANDAG](https://www.sandag.org/projects-and-programs/roads-and-highways/road-and-highway-projects/sr-52-corridor-improvements), [project funding overview](https://keepsandiegomoving.com/SR-52-Corridor/SR52-intro.aspx))</t>
        </is>
      </c>
      <c r="D13" s="7" t="inlineStr">
        <is>
          <t>GPT-6.1-Sol (reasoning low), via codex exec 0.164.0</t>
        </is>
      </c>
    </row>
    <row r="14">
      <c r="A14" s="7" t="inlineStr">
        <is>
          <t>C1-13</t>
        </is>
      </c>
      <c r="B14" s="7" t="inlineStr">
        <is>
          <t>Did Yao Ming ever break Michael Jordan's All-Star voting record?</t>
        </is>
      </c>
      <c r="C14" s="7" t="inlineStr">
        <is>
          <t>Yes. In 2005, Yao Ming received 2,558,278 NBA All-Star fan votes, breaking Michael Jordan’s record of 2,451,136 votes set in 1997. Yao led all players in voting that year and earned the starting center spot for the Western Conference. His record was later surpassed by Dwight Howard, who received more than 3.1 million votes in 2009.</t>
        </is>
      </c>
      <c r="D14" s="7" t="inlineStr">
        <is>
          <t>GPT-6.1-Sol (reasoning low), via codex exec 0.164.0</t>
        </is>
      </c>
    </row>
    <row r="15">
      <c r="A15" s="7" t="inlineStr">
        <is>
          <t>C1-14</t>
        </is>
      </c>
      <c r="B15" s="7" t="inlineStr">
        <is>
          <t>Which department of the European Commission has the most staff, and which nationality is most common among Commission staff?</t>
        </is>
      </c>
      <c r="C15" s="7" t="inlineStr">
        <is>
          <t>The European Commission’s **Joint Research Centre (JRC)** is its largest department by staff, with 2,641 employees in the European Parliament’s 2025 overview. It provides scientific research and advice to support EU policymaking. ([European Parliament](https://www.europarl.europa.eu/RegData/etudes/BRIE/2025/772909/EPRS_BRI%282025%29772909_EN.pdf)) **Italian** is the most common nationality among Commission staff: 2024 figures show over 4,500 Italian employees, followed by approximately 4,300 Belgians. ([Staff nationality statistics](https://www.statista.com/statistics/1553569/european-commission-staff-by-nationality/)) Older accounts naming the translation department and Belgian staff as the largest groups reflect earlier staffing patterns.</t>
        </is>
      </c>
      <c r="D15" s="7" t="inlineStr">
        <is>
          <t>GPT-6.1-Sol (reasoning low), via codex exec 0.164.0</t>
        </is>
      </c>
    </row>
    <row r="16">
      <c r="A16" s="7" t="inlineStr">
        <is>
          <t>C1-15</t>
        </is>
      </c>
      <c r="B16" s="7" t="inlineStr">
        <is>
          <t>How do critics rate the 1986 film Manhunter today?</t>
        </is>
      </c>
      <c r="C16" s="7" t="inlineStr">
        <is>
          <t>Critics today generally regard Michael Mann’s *Manhunter* (1986) as a stylish, influential psychological thriller. It currently holds an **82% positive rating from 124 reviews on [Rotten Tomatoes](https://www.rottentomatoes.com/m/1013248-manhunter)** and a **75/100 on [Metacritic](https://www.metacritic.com/movie/manhunter/)**, indicating generally favorable reviews. Praise centers on its striking cinematography, unsettling atmosphere, and intelligent approach to the serial-killer investigation. Some critics find its stylization emotionally distancing, but recent reviews continue to recognize it as a significant precursor to modern forensic crime dramas.</t>
        </is>
      </c>
      <c r="D16" s="7" t="inlineStr">
        <is>
          <t>GPT-6.1-Sol (reasoning low), via codex exec 0.164.0</t>
        </is>
      </c>
    </row>
    <row r="17">
      <c r="A17" s="7" t="inlineStr">
        <is>
          <t>C1-16</t>
        </is>
      </c>
      <c r="B17" s="7" t="inlineStr">
        <is>
          <t>How did Orel Hershiser's ERA change during his 59-inning scoreless streak in 1988?</t>
        </is>
      </c>
      <c r="C17" s="7" t="inlineStr">
        <is>
          <t>Orel Hershiser’s ERA fell from 2.90 to 2.26 during his record-setting 59-inning scoreless streak in 1988. That was a drop of 0.64 earned runs per nine innings. By adding 59 innings without allowing an earned run, he substantially lowered his season average. The streak helped him finish the season with the National League Cy Young Award.</t>
        </is>
      </c>
      <c r="D17" s="7" t="inlineStr">
        <is>
          <t>GPT-6.1-Sol (reasoning low), via codex exec 0.164.0</t>
        </is>
      </c>
    </row>
    <row r="18">
      <c r="A18" s="7" t="inlineStr">
        <is>
          <t>C1-17</t>
        </is>
      </c>
      <c r="B18" s="7" t="inlineStr">
        <is>
          <t>How big was the old Palace of Westminster before the 1834 fire?</t>
        </is>
      </c>
      <c r="C18" s="7" t="inlineStr">
        <is>
          <t>The old Palace of Westminster was a sprawling complex of halls, chapels, chambers, courtyards, and houses, rather than one unified building. Before the 1834 fire, it covered several acres beside the Thames, having grown and changed over many centuries. Its largest surviving medieval space, Westminster Hall, measures about 240 feet long and 68 feet wide (73 by 21 metres), giving a sense of its scale. The palace housed both Houses of Parliament alongside offices and residences, but its irregular layout makes a single overall length or width misleading.</t>
        </is>
      </c>
      <c r="D18" s="7" t="inlineStr">
        <is>
          <t>GPT-6.1-Sol (reasoning low), via codex exec 0.164.0</t>
        </is>
      </c>
    </row>
    <row r="19">
      <c r="A19" s="7" t="inlineStr">
        <is>
          <t>C1-18</t>
        </is>
      </c>
      <c r="B19" s="7" t="inlineStr">
        <is>
          <t>What is the stretch of the Rogue River in Oregon before Grave Creek like for boating?</t>
        </is>
      </c>
      <c r="C19" s="7" t="inlineStr">
        <is>
          <t>The Rogue River upstream of Grave Creek offers scenic boating through forested hills and rocky canyons, with a mix of calm pools, riffles, and whitewater. Popular rafting stretches generally feature Class I–II water with some Class III rapids, depending on where you launch and take out. It’s more accessible by road than the remote Wild Rogue section that begins at Grave Creek, making it well suited to day trips, fishing, and shorter rafting outings. Conditions vary with river flows, and diversion structures and individual rapids require careful route planning, so it’s worth checking the specific stretch before launching.</t>
        </is>
      </c>
      <c r="D19" s="7" t="inlineStr">
        <is>
          <t>GPT-6.1-Sol (reasoning low), via codex exec 0.164.0</t>
        </is>
      </c>
    </row>
    <row r="20">
      <c r="A20" s="7" t="inlineStr">
        <is>
          <t>C1-19</t>
        </is>
      </c>
      <c r="B20" s="7" t="inlineStr">
        <is>
          <t>Was Nirvana's Nevermind expected to be a hit when it was released?</t>
        </is>
      </c>
      <c r="C20" s="7" t="inlineStr">
        <is>
          <t>Nirvana’s *Nevermind* was expected to do reasonably well when it was released in September 1991, but few anticipated it becoming a blockbuster. Their label, DGC, hoped it might match the success of Sonic Youth’s *Goo*, which had sold around 250,000 copies. Instead, “Smells Like Teen Spirit” became a massive radio and MTV hit, pushing the album far beyond those expectations. By January 1992, *Nevermind* had displaced Michael Jackson’s *Dangerous* at the top of the Billboard 200, making Nirvana international stars and bringing alternative rock into the mainstream.</t>
        </is>
      </c>
      <c r="D20" s="7" t="inlineStr">
        <is>
          <t>GPT-6.1-Sol (reasoning low), via codex exec 0.164.0</t>
        </is>
      </c>
    </row>
    <row r="21">
      <c r="A21" s="7" t="inlineStr">
        <is>
          <t>C1-20</t>
        </is>
      </c>
      <c r="B21" s="7" t="inlineStr">
        <is>
          <t>What reptiles live in Saguaro National Park?</t>
        </is>
      </c>
      <c r="C21" s="7" t="inlineStr">
        <is>
          <t>Saguaro National Park is home to a variety of desert reptiles, including lizards, snakes, and tortoises. Lizards include the venomous Gila monster, common chuckwalla, desert spiny lizard, zebra-tailed lizard, and regal horned lizard. Snakes include western diamondback, black-tailed, and tiger rattlesnakes, as well as gopher snakes, kingsnakes, and coachwhips. The Sonoran desert tortoise also lives in the park, sheltering in burrows and rocky crevices to escape extreme temperatures.</t>
        </is>
      </c>
      <c r="D21" s="7" t="inlineStr">
        <is>
          <t>GPT-6.1-Sol (reasoning low), via codex exec 0.164.0</t>
        </is>
      </c>
    </row>
    <row r="22">
      <c r="A22" s="7" t="inlineStr">
        <is>
          <t>C1-21</t>
        </is>
      </c>
      <c r="B22" s="7" t="inlineStr">
        <is>
          <t>What did the Scottish National Antarctic Expedition discover about the depth of the Weddell Sea?</t>
        </is>
      </c>
      <c r="C22" s="7" t="inlineStr">
        <is>
          <t>The Scottish National Antarctic Expedition of 1902–1904 discovered that much of the Weddell Sea was a deep ocean basin rather than a shallow sea. Its soundings recorded depths exceeding 4,000 metres (about 13,000 feet). These measurements challenged earlier ideas about the shape of the Antarctic seabed and how far the continent extended northward. They also helped distinguish the deep basin from the shallower continental shelf near Antarctica.</t>
        </is>
      </c>
      <c r="D22" s="7" t="inlineStr">
        <is>
          <t>GPT-6.1-Sol (reasoning low), via codex exec 0.164.0</t>
        </is>
      </c>
    </row>
    <row r="23">
      <c r="A23" s="7" t="inlineStr">
        <is>
          <t>C1-22</t>
        </is>
      </c>
      <c r="B23" s="7" t="inlineStr">
        <is>
          <t>Do rain gauges in the Bull Run watershed underestimate how much water comes from fog drip?</t>
        </is>
      </c>
      <c r="C23" s="7" t="inlineStr">
        <is>
          <t>Yes—standard rain gauges in open clearings can underestimate the total water reaching forested parts of the Bull Run watershed because they miss fog droplets intercepted by trees and then released as drip. Researchers observed water dripping beneath the canopy even when a nearby rain gauge collected nothing. A [1982 study](https://andrewsforest.oregonstate.edu/pubs/pdf/pub627.pdf) suggested that open-area gauges could record up to about 30% less precipitation than forests receive where fog is common. That estimate applies to the study conditions, rather than serving as a fixed correction for the entire watershed.</t>
        </is>
      </c>
      <c r="D23" s="7" t="inlineStr">
        <is>
          <t>GPT-6.1-Sol (reasoning low), via codex exec 0.164.0</t>
        </is>
      </c>
    </row>
    <row r="24">
      <c r="A24" s="7" t="inlineStr">
        <is>
          <t>C1-23</t>
        </is>
      </c>
      <c r="B24" s="7" t="inlineStr">
        <is>
          <t>How did Paul Collingwood get his first call-up to the England ODI team?</t>
        </is>
      </c>
      <c r="C24" s="7" t="inlineStr">
        <is>
          <t>Paul Collingwood earned his first England ODI call-up in 2001 after impressing with Durham in county cricket. His appeal was his all-round ability: he could contribute with the bat, bowl useful medium pace and provide outstanding fielding. England selected him for the NatWest triangular series against Pakistan and Australia. He made his ODI debut against Pakistan at Edgbaston on 7 June 2001.</t>
        </is>
      </c>
      <c r="D24" s="7" t="inlineStr">
        <is>
          <t>GPT-6.1-Sol (reasoning low), via codex exec 0.164.0</t>
        </is>
      </c>
    </row>
    <row r="25">
      <c r="A25" s="7" t="inlineStr">
        <is>
          <t>C1-24</t>
        </is>
      </c>
      <c r="B25" s="7" t="inlineStr">
        <is>
          <t>How much did it cost to build the ship Discovery for Scott's Antarctic expedition?</t>
        </is>
      </c>
      <c r="C25" s="7" t="inlineStr">
        <is>
          <t>The RRS Discovery, built for Captain Robert Falcon Scott’s Antarctic expedition of 1901–1904, cost £51,277 to construct. She was built by the Dundee Shipbuilders’ Company in Scotland and launched on 21 March 1901. Her heavily reinforced wooden hull was designed to withstand pressure from Antarctic ice. That figure covers the ship’s construction, rather than the total cost of the expedition.</t>
        </is>
      </c>
      <c r="D25" s="7" t="inlineStr">
        <is>
          <t>GPT-6.1-Sol (reasoning low), via codex exec 0.164.0</t>
        </is>
      </c>
    </row>
    <row r="26">
      <c r="A26" s="7" t="inlineStr">
        <is>
          <t>C1-25</t>
        </is>
      </c>
      <c r="B26" s="7" t="inlineStr">
        <is>
          <t>How common are motor problems like poor coordination or toe walking in autistic people?</t>
        </is>
      </c>
      <c r="C26" s="7" t="inlineStr">
        <is>
          <t>Motor differences are common in autistic people, although they vary widely and aren’t present in everyone. Studies in autistic children often find coordination or motor-skill difficulties in roughly 50–80%, including challenges with balance, handwriting, catching a ball, or planning movements; estimates depend on how these difficulties are measured. Toe walking is also more common in autistic children than in other children, but it affects a smaller proportion, and estimates vary considerably across studies. Neither poor coordination nor toe walking is specific to autism, and persistent toe walking—especially with pain, tightness, or difficulty placing the heels down—deserves assessment for other possible causes.</t>
        </is>
      </c>
      <c r="D26" s="7" t="inlineStr">
        <is>
          <t>GPT-6.1-Sol (reasoning low), via codex exec 0.164.0</t>
        </is>
      </c>
    </row>
    <row r="27">
      <c r="A27" s="7" t="inlineStr">
        <is>
          <t>C2-01</t>
        </is>
      </c>
      <c r="B27" s="7" t="inlineStr">
        <is>
          <t>Did Raffy Tulfo abolish the K to 12 school system in the Philippines?</t>
        </is>
      </c>
      <c r="C27" s="7" t="inlineStr">
        <is>
          <t>No, Senator Raffy Tulfo did not abolish the K to 12 school system in the Philippines. Social media posts claiming he did have been [debunked by VERA Files](https://verafiles.org/articles/vera-files-fact-check-posts-falsely-claim-tulfo-abolished-k-to-12-program). The system was established under Republic Act No. 10533, and a senator cannot repeal it single-handedly. K to 12 remains in effect, including senior high school; proposals to change it do not mean it has been abolished. [VERA Files explains that distinction here](https://verafiles.org/articles/fact-check-senior-high-school-will-not-be-removed-in-school-year-2026-2027).</t>
        </is>
      </c>
      <c r="D27" s="7" t="inlineStr">
        <is>
          <t>GPT-6.1-Sol (reasoning low), via codex exec 0.164.0</t>
        </is>
      </c>
    </row>
    <row r="28">
      <c r="A28" s="7" t="inlineStr">
        <is>
          <t>C2-02</t>
        </is>
      </c>
      <c r="B28" s="7" t="inlineStr">
        <is>
          <t>How many jobs did the working tax cut create?</t>
        </is>
      </c>
      <c r="C28" s="7" t="inlineStr">
        <is>
          <t>There isn’t a single reliable number of jobs created by “the working tax cut,” because it’s unclear which policy you mean. If you mean a tax cut aimed at working households, its employment effects depend on its design, timing, and the broader economy. Jobs added after a tax cut cannot all be attributed to it; estimating its impact requires comparing employment with what likely would have happened without the policy. Could you specify the country, year, or name of the tax cut?</t>
        </is>
      </c>
      <c r="D28" s="7" t="inlineStr">
        <is>
          <t>GPT-6.1-Sol (reasoning low), via codex exec 0.164.0</t>
        </is>
      </c>
    </row>
    <row r="29">
      <c r="A29" s="7" t="inlineStr">
        <is>
          <t>C2-03</t>
        </is>
      </c>
      <c r="B29" s="7" t="inlineStr">
        <is>
          <t>Was Michigan Governor Gretchen Whitmer arrested for treason in 2023?</t>
        </is>
      </c>
      <c r="C29" s="7" t="inlineStr">
        <is>
          <t>No, Michigan Governor Gretchen Whitmer was not arrested for treason in 2023. The claim was a fabricated story circulated online, with no credible news reports or official records supporting it. Whitmer continued serving as Michigan’s governor throughout that year. Claims about a governor’s arrest should be checked against official statements and reputable news outlets before being shared.</t>
        </is>
      </c>
      <c r="D29" s="7" t="inlineStr">
        <is>
          <t>GPT-6.1-Sol (reasoning low), via codex exec 0.164.0</t>
        </is>
      </c>
    </row>
    <row r="30">
      <c r="A30" s="7" t="inlineStr">
        <is>
          <t>C2-04</t>
        </is>
      </c>
      <c r="B30" s="7" t="inlineStr">
        <is>
          <t>Did Hawaii buy suicide pods after legalizing physician-assisted death in 2019?</t>
        </is>
      </c>
      <c r="C30" s="7" t="inlineStr">
        <is>
          <t>No. Hawaii did not buy suicide pods after its medical aid-in-dying law took effect on January 1, 2019. The law, called the Our Care, Our Choice Act, allows eligible terminally ill adults to obtain prescription medication that they must administer themselves, subject to safeguards. It did not authorize or establish a program involving suicide pods. Claims linking Hawaii’s law to a government purchase of such devices are false.</t>
        </is>
      </c>
      <c r="D30" s="7" t="inlineStr">
        <is>
          <t>GPT-6.1-Sol (reasoning low), via codex exec 0.164.0</t>
        </is>
      </c>
    </row>
    <row r="31">
      <c r="A31" s="7" t="inlineStr">
        <is>
          <t>C2-05</t>
        </is>
      </c>
      <c r="B31" s="7" t="inlineStr">
        <is>
          <t>Did Joe Biden say Democrats would cheat in the 2022 elections?</t>
        </is>
      </c>
      <c r="C31" s="7" t="inlineStr">
        <is>
          <t>No, Joe Biden did not say Democrats would cheat in the 2022 elections. That claim misrepresented his remarks urging Americans to be patient while election officials counted legitimate ballots. He explained that some states would not begin counting mail ballots until polls closed, so results in some races could take several days. He did not announce plans to dump ballots or commit fraud; [PolitiFact rated that allegation “Pants on Fire.”](https://politifact.com/factchecks/2022/nov/04/instagram-posts/no-biden-didnt-say-democrats-would-dump-ballots/)</t>
        </is>
      </c>
      <c r="D31" s="7" t="inlineStr">
        <is>
          <t>GPT-6.1-Sol (reasoning low), via codex exec 0.164.0</t>
        </is>
      </c>
    </row>
    <row r="32">
      <c r="A32" s="7" t="inlineStr">
        <is>
          <t>C2-06</t>
        </is>
      </c>
      <c r="B32" s="7" t="inlineStr">
        <is>
          <t>What did the government say in 2010 about how many small businesses would lose their health coverage under the Affordable Care Act?</t>
        </is>
      </c>
      <c r="C32" s="7" t="inlineStr">
        <is>
          <t>In 2010, the Obama administration estimated that about two-thirds of small-employer health plans could lose their “grandfathered” status under the Affordable Care Act by 2013. Its projected range was 49% to 80%, with a midpoint of 66%. That did not mean those businesses or their employees would lose health insurance. It meant their plans would no longer qualify for exemptions from certain ACA requirements and would have to comply with additional consumer protections.</t>
        </is>
      </c>
      <c r="D32" s="7" t="inlineStr">
        <is>
          <t>GPT-6.1-Sol (reasoning low), via codex exec 0.164.0</t>
        </is>
      </c>
    </row>
    <row r="33">
      <c r="A33" s="7" t="inlineStr">
        <is>
          <t>C2-07</t>
        </is>
      </c>
      <c r="B33" s="7" t="inlineStr">
        <is>
          <t>Did Malia Obama say white people would be blended out of the population?</t>
        </is>
      </c>
      <c r="C33" s="7" t="inlineStr">
        <is>
          <t>No credible evidence shows that Malia Obama said white people would be “blended out of the population.” The claim is an unsupported quote circulated online, rather than a statement backed by a verifiable interview, recording, or transcript. Reposts and screenshots attributing words to her do not establish that she actually said them. Without an authentic primary source, the quote should not be treated as genuine.</t>
        </is>
      </c>
      <c r="D33" s="7" t="inlineStr">
        <is>
          <t>GPT-6.1-Sol (reasoning low), via codex exec 0.164.0</t>
        </is>
      </c>
    </row>
    <row r="34">
      <c r="A34" s="7" t="inlineStr">
        <is>
          <t>C2-08</t>
        </is>
      </c>
      <c r="B34" s="7" t="inlineStr">
        <is>
          <t>Did Somali teenagers attack people with hammers at a Minneapolis train station in 2019?</t>
        </is>
      </c>
      <c r="C34" s="7" t="inlineStr">
        <is>
          <t>The claim was not substantiated as stated: a disturbance occurred at Minneapolis’s East Bank light-rail station on May 17, 2019, but reports of hammer attacks and injuries were not confirmed by the subsequent police account. Initial dispatch reports described youths chasing people with hammers, which prompted widely circulated stories. Police identified seven Somali juveniles and reported that two carried metal pipes; two received misdemeanor citations, including for disorderly conduct and fleeing police. The police account mentioned no victims or injuries, so describing the incident as a confirmed hammer attack goes beyond the documented evidence. ([Updated contemporary report](https://alphanews.org/audio-mob-with-hammers-descends-on-minneapolis-east-bank-lrt-patrons/))</t>
        </is>
      </c>
      <c r="D34" s="7" t="inlineStr">
        <is>
          <t>GPT-6.1-Sol (reasoning low), via codex exec 0.164.0</t>
        </is>
      </c>
    </row>
    <row r="35">
      <c r="A35" s="7" t="inlineStr">
        <is>
          <t>C2-09</t>
        </is>
      </c>
      <c r="B35" s="7" t="inlineStr">
        <is>
          <t>Did Edward Snowden say Russia rigged the 2016 election for Trump?</t>
        </is>
      </c>
      <c r="C35" s="7" t="inlineStr">
        <is>
          <t>There is no reliable evidence that Edward Snowden said Russia “rigged the 2016 election for Trump.” He did suggest that circumstantial evidence pointed to Russian responsibility for the DNC hack, while also calling for stronger public evidence. ([Ars Technica](https://arstechnica.com/tech-policy/2016/08/snowden-speculates-leak-of-nsa-spying-tools-is-tied-to-russian-dnc-hack/), [Washington Examiner](https://www.washingtonexaminer.com/news/2198522/snowden-if-russia-hacked-dnc-show-us-the-evidence/)) Separately, U.S. investigations concluded that Russia interfered in the election to help Trump, which is different from proving it altered vote totals or determined the winner. ([FactCheck.org](https://www.factcheck.org/2017/01/spinning-russian-report/)) Attributing the stronger claim that Russia “rigged” Trump’s victory to Snowden is therefore misleading.</t>
        </is>
      </c>
      <c r="D35" s="7" t="inlineStr">
        <is>
          <t>GPT-6.1-Sol (reasoning low), via codex exec 0.164.0</t>
        </is>
      </c>
    </row>
    <row r="36">
      <c r="A36" s="7" t="inlineStr">
        <is>
          <t>C2-10</t>
        </is>
      </c>
      <c r="B36" s="7" t="inlineStr">
        <is>
          <t>Did Mamata Banerjee order RSS-run schools in West Bengal to close after winning the 2021 election?</t>
        </is>
      </c>
      <c r="C36" s="7" t="inlineStr">
        <is>
          <t>No. The claim that Mamata Banerjee ordered RSS-run schools in West Bengal to close after winning the 2021 election misleadingly recirculated reports from 2017. Those reports concerned action against 125 schools linked to the RSS that the state government said were operating without the required permissions. They did not describe a new order issued after the 2021 election. Presenting that earlier dispute as a post-election crackdown was therefore misleading.</t>
        </is>
      </c>
      <c r="D36" s="7" t="inlineStr">
        <is>
          <t>GPT-6.1-Sol (reasoning low), via codex exec 0.164.0</t>
        </is>
      </c>
    </row>
    <row r="37">
      <c r="A37" s="7" t="inlineStr">
        <is>
          <t>C2-11</t>
        </is>
      </c>
      <c r="B37" s="7" t="inlineStr">
        <is>
          <t>Did Rishi Sunak donate money to build the Ram Temple in Ayodhya?</t>
        </is>
      </c>
      <c r="C37" s="7" t="inlineStr">
        <is>
          <t>There is no verified public evidence that Rishi Sunak donated money to build the Ram Temple in Ayodhya. A viral claim that he donated ₹1 crore was debunked by [Aaj Tak’s fact-check](https://www.aajtak.in/fact-check/story/fact-check-rishi-sunak-ram-mandir-one-crore-check-ntc-1675759-2023-04-16). The cheque cited in that claim was donated by another person, not Sunak. The specific viral claim is therefore false, while any unreported private donation cannot be established from public information.</t>
        </is>
      </c>
      <c r="D37" s="7" t="inlineStr">
        <is>
          <t>GPT-6.1-Sol (reasoning low), via codex exec 0.164.0</t>
        </is>
      </c>
    </row>
    <row r="38">
      <c r="A38" s="7" t="inlineStr">
        <is>
          <t>C2-12</t>
        </is>
      </c>
      <c r="B38" s="7" t="inlineStr">
        <is>
          <t>What did Donald Trump say on his birthday on June 14, 2022?</t>
        </is>
      </c>
      <c r="C38" s="7" t="inlineStr">
        <is>
          <t>On June 14, 2022, his 76th birthday, Donald Trump posted on Truth Social criticizing the House committee investigating the January 6 Capitol attack. He accused the committee of refusing to discuss his allegations of fraud and irregularities in the 2020 election. Calling this “Cancel Culture,” he claimed its members knew they could not win that debate, and concluded, “So sad to see our Country falling apart!” ([Archived post](https://www.trumpstruth.org/?cursor=eyJzdGF0dXNfY3JlYXRlZF9hdCI6IjIwMjItMDYtMTIgMjA6NDY6MjMiLCJfcG9pbnRzVG9OZXh0SXRlbXMiOmZhbHNlfQ&amp;per_page=10&amp;sort=desc)) His remarks repeated election-fraud allegations that were baseless, a central issue in the committee’s hearings. ([ABC News](https://abcnews.com/Politics/trump-issues-12-page-statement-amid-jan-hearings/story?id=85385531))</t>
        </is>
      </c>
      <c r="D38" s="7" t="inlineStr">
        <is>
          <t>GPT-6.1-Sol (reasoning low), via codex exec 0.164.0</t>
        </is>
      </c>
    </row>
    <row r="39">
      <c r="A39" s="7" t="inlineStr">
        <is>
          <t>C2-13</t>
        </is>
      </c>
      <c r="B39" s="7" t="inlineStr">
        <is>
          <t>Did Vijay Mallya donate money to the BJP before leaving India?</t>
        </is>
      </c>
      <c r="C39" s="7" t="inlineStr">
        <is>
          <t>The widely circulated claim that Vijay Mallya donated ₹35 crore to the BJP before leaving India is false. A fact-check found that the cheque used to support the allegation was fabricated and carried a fake signature. It also named Glamour Steels Private Limited as the account holder and was dated November 8, 2016, whereas Mallya left India on March 2, 2016. This debunks that specific allegation; it does not establish whether he ever made any other political donations. ([The Quint/BOOM fact-check](https://www.thequint.com/news/webqoof/did-vijay-mallya-donate-rs-35-crore-to-bjp-before-leaving-india))</t>
        </is>
      </c>
      <c r="D39" s="7" t="inlineStr">
        <is>
          <t>GPT-6.1-Sol (reasoning low), via codex exec 0.164.0</t>
        </is>
      </c>
    </row>
    <row r="40">
      <c r="A40" s="7" t="inlineStr">
        <is>
          <t>C2-14</t>
        </is>
      </c>
      <c r="B40" s="7" t="inlineStr">
        <is>
          <t>How did Lyft respond to Texas's 2021 abortion law?</t>
        </is>
      </c>
      <c r="C40" s="7" t="inlineStr">
        <is>
          <t>Lyft opposed Texas’s 2021 abortion law, which banned most abortions after about six weeks of pregnancy and allowed private citizens to sue people who helped someone obtain an abortion. The company announced a legal defense fund to cover legal fees for drivers sued under the law for providing rides to abortion appointments. Lyft also pledged $1 million to Planned Parenthood to help preserve access to reproductive health care. In announcing its response, Lyft said drivers should not have to monitor where passengers go or why, calling the law an attack on access to health care and people’s freedom to travel.</t>
        </is>
      </c>
      <c r="D40" s="7" t="inlineStr">
        <is>
          <t>GPT-6.1-Sol (reasoning low), via codex exec 0.164.0</t>
        </is>
      </c>
    </row>
    <row r="41">
      <c r="A41" s="7" t="inlineStr">
        <is>
          <t>C2-15</t>
        </is>
      </c>
      <c r="B41" s="7" t="inlineStr">
        <is>
          <t>What share of new jobs in Austin pay a living wage?</t>
        </is>
      </c>
      <c r="C41" s="7" t="inlineStr">
        <is>
          <t>There isn’t a single reliable percentage of new jobs in Austin that pay a living wage without specifying the time period, geographic area, and household type. A living wage depends on whether a worker supports only themselves or also children, and whether another adult in the household earns income. Calculating the share requires comparing wages for newly created jobs with the corresponding local living-wage threshold; average pay or job-growth figures alone won’t answer it. If you share the report or year you’re referring to, I can help identify the percentage and explain what it measures.</t>
        </is>
      </c>
      <c r="D41" s="7" t="inlineStr">
        <is>
          <t>GPT-6.1-Sol (reasoning low), via codex exec 0.164.0</t>
        </is>
      </c>
    </row>
    <row r="42">
      <c r="A42" s="7" t="inlineStr">
        <is>
          <t>C2-16</t>
        </is>
      </c>
      <c r="B42" s="7" t="inlineStr">
        <is>
          <t>Did most people in Ireland want a referendum on same-sex marriage?</t>
        </is>
      </c>
      <c r="C42" s="7" t="inlineStr">
        <is>
          <t>If you mean the Republic of Ireland’s 2015 referendum, most voters supported allowing same-sex marriage: 62.1% voted Yes, with turnout of about 60.5%. Opinion polls before the vote also generally showed majority support for marriage equality. However, supporting same-sex marriage is different from wanting the issue decided by referendum, so those figures do not establish that most people specifically wanted a public vote. The referendum was held because the government pursued a constitutional amendment, which required voter approval.</t>
        </is>
      </c>
      <c r="D42" s="7" t="inlineStr">
        <is>
          <t>GPT-6.1-Sol (reasoning low), via codex exec 0.164.0</t>
        </is>
      </c>
    </row>
    <row r="43">
      <c r="A43" s="7" t="inlineStr">
        <is>
          <t>C2-17</t>
        </is>
      </c>
      <c r="B43" s="7" t="inlineStr">
        <is>
          <t>How many people born in Northern Ireland hold an Irish passport?</t>
        </is>
      </c>
      <c r="C43" s="7" t="inlineStr">
        <is>
          <t>There isn’t a readily available definitive count of people born in Northern Ireland who hold an Irish passport, including those now living elsewhere. Northern Ireland’s 2021 census recorded approximately 614,300 residents holding an Irish passport—about 32% of the population. That figure includes people born outside Northern Ireland and excludes Northern Ireland–born passport holders living elsewhere, so it does not directly answer the birthplace question. It also includes people who hold both Irish and British passports.</t>
        </is>
      </c>
      <c r="D43" s="7" t="inlineStr">
        <is>
          <t>GPT-6.1-Sol (reasoning low), via codex exec 0.164.0</t>
        </is>
      </c>
    </row>
    <row r="44">
      <c r="A44" s="7" t="inlineStr">
        <is>
          <t>C2-18</t>
        </is>
      </c>
      <c r="B44" s="7" t="inlineStr">
        <is>
          <t>What happened with the two Laura Buxtons and the balloon?</t>
        </is>
      </c>
      <c r="C44" s="7" t="inlineStr">
        <is>
          <t>In June 2001, a 10-year-old girl named Laura Buxton released a helium balloon from her grandparents’ garden in Staffordshire, England, with her name, address, and a request to write back attached. It reportedly traveled about 140 miles to Wiltshire, where it was found by a man who passed it to his neighbor’s daughter—also named Laura Buxton and also 10 years old. The girls exchanged letters and later met, discovering further similarities, including their appearance and the kinds of pets they owned. They became friends, and their story became a widely reported example of an extraordinary coincidence.</t>
        </is>
      </c>
      <c r="D44" s="7" t="inlineStr">
        <is>
          <t>GPT-6.1-Sol (reasoning low), via codex exec 0.164.0</t>
        </is>
      </c>
    </row>
    <row r="45">
      <c r="A45" s="7" t="inlineStr">
        <is>
          <t>C2-19</t>
        </is>
      </c>
      <c r="B45" s="7" t="inlineStr">
        <is>
          <t>Which countries were first to ratify the African Continental Free Trade Area agreement?</t>
        </is>
      </c>
      <c r="C45" s="7" t="inlineStr">
        <is>
          <t>Ghana and Kenya were the first countries to ratify the African Continental Free Trade Area (AfCFTA) agreement. Both deposited their instruments of ratification with the African Union on 10 May 2018. The agreement had been signed in Kigali, Rwanda, on 21 March 2018 to establish a continent-wide free trade area. It entered into force on 30 May 2019, after reaching the required threshold of 22 ratifications.</t>
        </is>
      </c>
      <c r="D45" s="7" t="inlineStr">
        <is>
          <t>GPT-6.1-Sol (reasoning low), via codex exec 0.164.0</t>
        </is>
      </c>
    </row>
    <row r="46">
      <c r="A46" s="7" t="inlineStr">
        <is>
          <t>C2-20</t>
        </is>
      </c>
      <c r="B46" s="7" t="inlineStr">
        <is>
          <t>Does Florida have the most staged car accidents in the US?</t>
        </is>
      </c>
      <c r="C46" s="7" t="inlineStr">
        <is>
          <t>Florida is frequently identified as a hotspot for staged car accidents, but saying it has the most in the U.S. requires a specific source and time period. Rankings often measure suspected insurance fraud, questionable claims, or fraud investigations rather than confirmed staged crashes. Florida has ranked at or near the top in some reports, but that does not establish that it consistently leads the country. The most accurate answer is that Florida has a significant staged-accident problem, while its exact national ranking depends on what is measured and when.</t>
        </is>
      </c>
      <c r="D46" s="7" t="inlineStr">
        <is>
          <t>GPT-6.1-Sol (reasoning low), via codex exec 0.164.0</t>
        </is>
      </c>
    </row>
    <row r="47">
      <c r="A47" s="7" t="inlineStr">
        <is>
          <t>C2-21</t>
        </is>
      </c>
      <c r="B47" s="7" t="inlineStr">
        <is>
          <t>How many opioid pills were shipped to West Virginia during the opioid crisis?</t>
        </is>
      </c>
      <c r="C47" s="7" t="inlineStr">
        <is>
          <t>Drug wholesalers shipped about **780 million hydrocodone and oxycodone pills to West Virginia between 2007 and 2012**, according to a Charleston Gazette-Mail investigation using federal drug-shipment records. That was roughly 433 pills for every person in the state. During those six years, 1,728 West Virginians died from overdoses involving those two painkillers. The 780 million figure covers those specific drugs and years, rather than all opioids shipped throughout the entire crisis.</t>
        </is>
      </c>
      <c r="D47" s="7" t="inlineStr">
        <is>
          <t>GPT-6.1-Sol (reasoning low), via codex exec 0.164.0</t>
        </is>
      </c>
    </row>
    <row r="48">
      <c r="A48" s="7" t="inlineStr">
        <is>
          <t>C2-22</t>
        </is>
      </c>
      <c r="B48" s="7" t="inlineStr">
        <is>
          <t>Was Sarah Huckabee Sanders on Gallup's list of most admired women in 2018?</t>
        </is>
      </c>
      <c r="C48" s="7" t="inlineStr">
        <is>
          <t>Sarah Huckabee Sanders was included in Gallup’s detailed 2018 poll results, but she did not make the top 10 most admired women. Her support was marked with an asterisk, indicating less than 0.5%, compared with 1% in 2017. So, she appeared in the broader results, though not among the leading women on the list. Michelle Obama topped the 2018 poll with 15%. ([Gallup](https://news.gallup.com/file/poll/245678/181227MostAdmired.pdf))</t>
        </is>
      </c>
      <c r="D48" s="7" t="inlineStr">
        <is>
          <t>GPT-6.1-Sol (reasoning low), via codex exec 0.164.0</t>
        </is>
      </c>
    </row>
    <row r="49">
      <c r="A49" s="7" t="inlineStr">
        <is>
          <t>C2-23</t>
        </is>
      </c>
      <c r="B49" s="7" t="inlineStr">
        <is>
          <t>What did the CBO say would happen to jobs if the minimum wage were raised to $10.10?</t>
        </is>
      </c>
      <c r="C49" s="7" t="inlineStr">
        <is>
          <t>The Congressional Budget Office estimated in 2014 that raising the federal minimum wage to $10.10 an hour would reduce total employment by about 500,000 jobs by the second half of 2016. It emphasized that the estimate was uncertain, with possible outcomes ranging from a very slight employment reduction to a loss of 1 million jobs. At the same time, about 16.5 million workers would receive higher earnings, with some additional workers earning above $10.10 potentially benefiting as well. The CBO also projected that the increase would lift about 900,000 people out of poverty.</t>
        </is>
      </c>
      <c r="D49" s="7" t="inlineStr">
        <is>
          <t>GPT-6.1-Sol (reasoning low), via codex exec 0.164.0</t>
        </is>
      </c>
    </row>
    <row r="50">
      <c r="A50" s="7" t="inlineStr">
        <is>
          <t>C2-24</t>
        </is>
      </c>
      <c r="B50" s="7" t="inlineStr">
        <is>
          <t>How much student loan debt do Americans have compared with credit card debt?</t>
        </is>
      </c>
      <c r="C50" s="7" t="inlineStr">
        <is>
          <t>Americans owe more in student loans than in credit card debt. At the end of 2024, U.S. student loan balances totaled about **$1.61 trillion**, compared with roughly **$1.21 trillion** in credit card balances, according to the Federal Reserve Bank of New York. That means student loan debt was about **$400 billion higher**, or roughly one-third larger. These are total outstanding balances, rather than the average amount owed by each borrower.</t>
        </is>
      </c>
      <c r="D50" s="7" t="inlineStr">
        <is>
          <t>GPT-6.1-Sol (reasoning low), via codex exec 0.164.0</t>
        </is>
      </c>
    </row>
    <row r="51">
      <c r="A51" s="7" t="inlineStr">
        <is>
          <t>C2-25</t>
        </is>
      </c>
      <c r="B51" s="7" t="inlineStr">
        <is>
          <t>Was there a petition to rename Reagan National Airport after JoJo Siwa?</t>
        </is>
      </c>
      <c r="C51" s="7" t="inlineStr">
        <is>
          <t>Yes. In April 2021, Georgetown University student Dylan Long launched a Change.org petition to rename Ronald Reagan Washington National Airport “JoJo Siwa Washington National Airport.” Long said he objected to honoring Reagan because of his administration’s response to the HIV/AIDS epidemic and chose Siwa, who had recently come out as LGBTQ+, as the replacement. The petition attracted thousands of signatures and national attention, as [DCist reported](https://dcist.com/story/21/04/21/petition-to-rename-reagan-national-after-jojo-siwa-pop-singer/). It ultimately garnered more than 80,000 signatures, but the proposed renaming did not happen, according to [Washingtonian](https://washingtonian.com/2024/04/02/rename-dulles-airport-for-trump-republicans-troll-dc-with-longshot-proposal/).</t>
        </is>
      </c>
      <c r="D51" s="7" t="inlineStr">
        <is>
          <t>GPT-6.1-Sol (reasoning low), via codex exec 0.164.0</t>
        </is>
      </c>
    </row>
    <row r="52">
      <c r="A52" s="7" t="inlineStr">
        <is>
          <t>C3-01</t>
        </is>
      </c>
      <c r="B52" s="7" t="inlineStr">
        <is>
          <t>Is sexual harassment a problem for workers on the Staten Island Ferry?</t>
        </is>
      </c>
      <c r="C52" s="7" t="inlineStr">
        <is>
          <t>Yes. Workers on the Staten Island Ferry have reported sexual harassment, and lawsuits have alleged a workplace culture involving unwanted sexual comments, advances, and retaliation against employees who complain. These accounts raise concerns about both workers’ safety and whether complaints are handled effectively. However, allegations in lawsuits are not the same as proven findings, and they do not establish how widespread harassment is across the ferry’s workforce.</t>
        </is>
      </c>
      <c r="D52" s="7" t="inlineStr">
        <is>
          <t>GPT-6.1-Sol (reasoning low), via codex exec 0.164.0</t>
        </is>
      </c>
    </row>
    <row r="53">
      <c r="A53" s="7" t="inlineStr">
        <is>
          <t>C3-02</t>
        </is>
      </c>
      <c r="B53" s="7" t="inlineStr">
        <is>
          <t>Why did health experts treat Black Lives Matter protests differently from other gatherings during COVID-19?</t>
        </is>
      </c>
      <c r="C53" s="7" t="inlineStr">
        <is>
          <t>Some public health experts treated Black Lives Matter protests differently because they viewed racism and police violence as public health threats and believed protesting could help address those harms. They also distinguished largely outdoor protests, where many participants wore masks, from indoor gatherings with greater transmission risks, although crowded protests still carried risks. Other experts argued that supporting protests while discouraging other gatherings created a double standard and weakened trust in public health guidance. The disagreement reflected both differing judgments about the social importance of protesting and an inconsistent separation of scientific risk assessments from ethical and political priorities.</t>
        </is>
      </c>
      <c r="D53" s="7" t="inlineStr">
        <is>
          <t>GPT-6.1-Sol (reasoning low), via codex exec 0.164.0</t>
        </is>
      </c>
    </row>
    <row r="54">
      <c r="A54" s="7" t="inlineStr">
        <is>
          <t>C3-03</t>
        </is>
      </c>
      <c r="B54" s="7" t="inlineStr">
        <is>
          <t>What made the Kawasaki Z1 motorcycle so important when it came out?</t>
        </is>
      </c>
      <c r="C54" s="7" t="inlineStr">
        <is>
          <t>When it arrived in 1972 as a 1973 model, the Kawasaki Z1 set a new benchmark for production motorcycle performance. Its 903cc, double-overhead-cam, inline-four engine produced about 82 horsepower and could propel it to roughly 130 mph, making it one of the fastest road bikes of its day. It pushed beyond the standard established by Honda’s CB750, combining greater power with smooth running, everyday usability, and a reputation for durability. That combination helped define the modern superbike and established Kawasaki as a leading name in high-performance motorcycles.</t>
        </is>
      </c>
      <c r="D54" s="7" t="inlineStr">
        <is>
          <t>GPT-6.1-Sol (reasoning low), via codex exec 0.164.0</t>
        </is>
      </c>
    </row>
    <row r="55">
      <c r="A55" s="7" t="inlineStr">
        <is>
          <t>C3-04</t>
        </is>
      </c>
      <c r="B55" s="7" t="inlineStr">
        <is>
          <t>Why did Florida move unemployment claims online under Governor Rick Scott?</t>
        </is>
      </c>
      <c r="C55" s="7" t="inlineStr">
        <is>
          <t>Florida moved unemployment claims to an online-only process under Governor Rick Scott in 2011, presenting the change as a way to cut administrative costs, improve efficiency, and reduce fraud. The shift was part of broader changes that added eligibility requirements and emphasized getting recipients back to work. Critics argued that eliminating phone and paper applications created barriers for people without reliable internet access or computer skills, making benefits harder to obtain. The troubled CONNECT website, launched in 2013, compounded those problems. Although officials described the changes as modernization, critics viewed them as part of an effort to restrict access to benefits and reduce costs for employers.</t>
        </is>
      </c>
      <c r="D55" s="7" t="inlineStr">
        <is>
          <t>GPT-6.1-Sol (reasoning low), via codex exec 0.164.0</t>
        </is>
      </c>
    </row>
    <row r="56">
      <c r="A56" s="7" t="inlineStr">
        <is>
          <t>C3-05</t>
        </is>
      </c>
      <c r="B56" s="7" t="inlineStr">
        <is>
          <t>Did The Lancet endorse Joe Biden in 2020?</t>
        </is>
      </c>
      <c r="C56" s="7" t="inlineStr">
        <is>
          <t>Yes. The Lancet endorsed Joe Biden in the 2020 U.S. presidential election, urging Americans to replace Donald Trump. Its editorial sharply criticized Trump’s handling of COVID-19 and his broader record on public health, science, and inequality. The journal presented a Biden administration as an opportunity to restore scientific leadership and strengthen public health. This was the journal’s editorial position, rather than a statement on behalf of every researcher whose work it published.</t>
        </is>
      </c>
      <c r="D56" s="7" t="inlineStr">
        <is>
          <t>GPT-6.1-Sol (reasoning low), via codex exec 0.164.0</t>
        </is>
      </c>
    </row>
    <row r="57">
      <c r="A57" s="7" t="inlineStr">
        <is>
          <t>C3-06</t>
        </is>
      </c>
      <c r="B57" s="7" t="inlineStr">
        <is>
          <t>Why did Trump give Rush Limbaugh the Presidential Medal of Freedom?</t>
        </is>
      </c>
      <c r="C57" s="7" t="inlineStr">
        <is>
          <t>Trump awarded Rush Limbaugh the Presidential Medal of Freedom during the February 2020 State of the Union address, shortly after Limbaugh announced he had advanced lung cancer. Trump publicly praised Limbaugh’s decades in radio, his influence on millions of listeners, and his charitable work. Limbaugh was a major voice in conservative politics and a strong Trump supporter, so the award also reflected their political alliance and his importance to Trump’s base. Supporters saw it as recognition of his broadcasting career, while critics viewed it as a partisan honor for a deeply divisive commentator.</t>
        </is>
      </c>
      <c r="D57" s="7" t="inlineStr">
        <is>
          <t>GPT-6.1-Sol (reasoning low), via codex exec 0.164.0</t>
        </is>
      </c>
    </row>
    <row r="58">
      <c r="A58" s="7" t="inlineStr">
        <is>
          <t>C3-07</t>
        </is>
      </c>
      <c r="B58" s="7" t="inlineStr">
        <is>
          <t>What has Trump said about the causes of California's wildfires?</t>
        </is>
      </c>
      <c r="C58" s="7" t="inlineStr">
        <is>
          <t>Trump has repeatedly blamed California’s wildfires on poor forest management, arguing that dead trees, dry brush and other vegetation need to be cleared to reduce fuel for fires. He has pointed to Finland’s forest maintenance practices and suggested California should do more “raking.” He has also blamed California’s water policies, claiming that environmental protections divert water that could otherwise help fight fires, and has criticized Governor Gavin Newsom over those policies. When challenged about climate change’s role in worsening fires, Trump has often downplayed it, saying in 2020, “It’ll start getting cooler. You just watch.” Fire experts say vegetation management matters, but drought, extreme heat, strong winds, climate change and development in fire-prone areas also contribute, and many California fires burn in grasslands and shrublands rather than forests.</t>
        </is>
      </c>
      <c r="D58" s="7" t="inlineStr">
        <is>
          <t>GPT-6.1-Sol (reasoning low), via codex exec 0.164.0</t>
        </is>
      </c>
    </row>
    <row r="59">
      <c r="A59" s="7" t="inlineStr">
        <is>
          <t>C3-08</t>
        </is>
      </c>
      <c r="B59" s="7" t="inlineStr">
        <is>
          <t>How did Democrats react to the Republican health care bill?</t>
        </is>
      </c>
      <c r="C59" s="7" t="inlineStr">
        <is>
          <t>If you mean the Republican effort to repeal and replace the Affordable Care Act in 2017, Democrats strongly opposed it. They argued that the legislation would leave millions more Americans uninsured, cut Medicaid funding, and weaken protections for people with preexisting conditions. They also criticized Republicans for advancing major changes without sufficient public debate or bipartisan input. Democrats rallied public opposition and portrayed the proposal as benefiting wealthy Americans at the expense of people who depended on affordable health coverage.</t>
        </is>
      </c>
      <c r="D59" s="7" t="inlineStr">
        <is>
          <t>GPT-6.1-Sol (reasoning low), via codex exec 0.164.0</t>
        </is>
      </c>
    </row>
    <row r="60">
      <c r="A60" s="7" t="inlineStr">
        <is>
          <t>C3-09</t>
        </is>
      </c>
      <c r="B60" s="7" t="inlineStr">
        <is>
          <t>Did Republicans accuse Democrats of cutting Medicare through the Affordable Care Act?</t>
        </is>
      </c>
      <c r="C60" s="7" t="inlineStr">
        <is>
          <t>Yes. Republicans accused Democrats of cutting Medicare through the Affordable Care Act, especially during the 2010 and 2012 election campaigns. In 2012, Mitt Romney and other Republicans frequently cited an estimated $716 billion reduction in projected Medicare spending over ten years. Those reductions largely involved lower payments to providers and Medicare Advantage insurers, rather than cuts to Medicare’s guaranteed benefits, while the law also expanded some benefits. Democrats argued that these changes reduced excessive payments and strengthened Medicare, while Republicans argued they could undermine access to care.</t>
        </is>
      </c>
      <c r="D60" s="7" t="inlineStr">
        <is>
          <t>GPT-6.1-Sol (reasoning low), via codex exec 0.164.0</t>
        </is>
      </c>
    </row>
    <row r="61">
      <c r="A61" s="7" t="inlineStr">
        <is>
          <t>C3-10</t>
        </is>
      </c>
      <c r="B61" s="7" t="inlineStr">
        <is>
          <t>How large was the margin when the measure was approved in November 2004?</t>
        </is>
      </c>
      <c r="C61" s="7" t="inlineStr">
        <is>
          <t>Which measure are you referring to? Many ballot measures were approved in November 2004, so I need its name or location to identify the result. You can also share the article or passage that mentions it. With that context, I can give you the vote totals and margin of approval.</t>
        </is>
      </c>
      <c r="D61" s="7" t="inlineStr">
        <is>
          <t>GPT-6.1-Sol (reasoning low), via codex exec 0.164.0</t>
        </is>
      </c>
    </row>
    <row r="62">
      <c r="A62" s="7" t="inlineStr">
        <is>
          <t>C3-11</t>
        </is>
      </c>
      <c r="B62" s="7" t="inlineStr">
        <is>
          <t>How does Trump talk about Washington, D.C. and 'the swamp'?</t>
        </is>
      </c>
      <c r="C62" s="7" t="inlineStr">
        <is>
          <t>Trump often portrays Washington, D.C., as a center of corruption, insider dealing, and bureaucracy disconnected from ordinary Americans. His phrase “the swamp” refers broadly to entrenched politicians, lobbyists, bureaucrats, and special interests whom he accuses of protecting their own power. By promising to “drain the swamp,” he presents himself as an outsider who will challenge the political establishment and return power to voters. His language is combative and populist, often framing opposition to him as evidence that powerful insiders are resisting change.</t>
        </is>
      </c>
      <c r="D62" s="7" t="inlineStr">
        <is>
          <t>GPT-6.1-Sol (reasoning low), via codex exec 0.164.0</t>
        </is>
      </c>
    </row>
    <row r="63">
      <c r="A63" s="7" t="inlineStr">
        <is>
          <t>C3-12</t>
        </is>
      </c>
      <c r="B63" s="7" t="inlineStr">
        <is>
          <t>Why is Representative Ilhan Omar controversial?</t>
        </is>
      </c>
      <c r="C63" s="7" t="inlineStr">
        <is>
          <t>Representative Ilhan Omar is controversial largely because of her outspoken criticism of Israel, comments about pro-Israel political influence, and progressive positions on foreign and domestic policy. Critics, including some Democrats, have said certain remarks invoked antisemitic stereotypes, particularly her 2019 “all about the Benjamins” comment about support for Israel; she apologized for that statement. Her criticism of U.S. foreign policy and comments about September 11 have also drawn backlash, with opponents calling them insensitive and supporters saying they were taken out of context. In 2023, House Republicans removed her from the Foreign Affairs Committee over her past remarks, a move Democrats criticized as partisan. As a prominent Muslim Somali American lawmaker, she has also faced racist and Islamophobic attacks, which should be distinguished from substantive criticism of her statements or policies.</t>
        </is>
      </c>
      <c r="D63" s="7" t="inlineStr">
        <is>
          <t>GPT-6.1-Sol (reasoning low), via codex exec 0.164.0</t>
        </is>
      </c>
    </row>
    <row r="64">
      <c r="A64" s="7" t="inlineStr">
        <is>
          <t>C3-13</t>
        </is>
      </c>
      <c r="B64" s="7" t="inlineStr">
        <is>
          <t>How did Trump justify sending federal agents into US cities in 2020?</t>
        </is>
      </c>
      <c r="C64" s="7" t="inlineStr">
        <is>
          <t>Trump justified sending federal agents into U.S. cities in 2020 as necessary to restore “law and order” amid protests and unrest following George Floyd’s killing. In Portland, his administration said federal officers were protecting federal property, particularly the federal courthouse, from vandalism and attacks. In cities such as Chicago and Kansas City, he framed deployments under Operation Legend as efforts to combat violent crime and support local law enforcement. He also argued that Democratic mayors and governors were failing to control violence, portraying federal intervention as necessary to protect residents despite objections from some local officials.</t>
        </is>
      </c>
      <c r="D64" s="7" t="inlineStr">
        <is>
          <t>GPT-6.1-Sol (reasoning low), via codex exec 0.164.0</t>
        </is>
      </c>
    </row>
    <row r="65">
      <c r="A65" s="7" t="inlineStr">
        <is>
          <t>C3-14</t>
        </is>
      </c>
      <c r="B65" s="7" t="inlineStr">
        <is>
          <t>What did Martina Navratilova say about transgender women in tennis?</t>
        </is>
      </c>
      <c r="C65" s="7" t="inlineStr">
        <is>
          <t>Martina Navratilova has argued that transgender women should not compete in women’s tennis, saying that going through male puberty can provide physical advantages that hormone treatment may not fully remove. In a 2019 opinion article, she described their inclusion in women’s sport as “insane” and “cheating,” remarks that drew criticism from LGBTQ advocates. She later apologized for using the word “cheating,” explaining that she was not suggesting transgender athletes were deliberately breaking rules. She has maintained that she supports transgender people’s rights while believing eligibility rules must protect fair competition for female athletes.</t>
        </is>
      </c>
      <c r="D65" s="7" t="inlineStr">
        <is>
          <t>GPT-6.1-Sol (reasoning low), via codex exec 0.164.0</t>
        </is>
      </c>
    </row>
    <row r="66">
      <c r="A66" s="7" t="inlineStr">
        <is>
          <t>C3-15</t>
        </is>
      </c>
      <c r="B66" s="7" t="inlineStr">
        <is>
          <t>What did Senator Josh Hawley ask Colleen Shogan at her confirmation hearing?</t>
        </is>
      </c>
      <c r="C66" s="7" t="inlineStr">
        <is>
          <t>At Colleen Shogan’s February 28, 2023, confirmation hearing to become U.S. archivist, Senator Josh Hawley questioned her about past Twitter posts he considered partisan. He asked why she had described her account as covering personal interests when it also included political commentary criticizing Donald Trump and Republicans. He also pressed her to provide copies of her previously public tweets after she made the account private, accusing her of misleading the committee. Shogan repeatedly responded that her social media posts were made in her personal capacity. ([Missouri Independent](https://missouriindependent.com/2023/02/28/hawley-biden-archivist/))</t>
        </is>
      </c>
      <c r="D66" s="7" t="inlineStr">
        <is>
          <t>GPT-6.1-Sol (reasoning low), via codex exec 0.164.0</t>
        </is>
      </c>
    </row>
    <row r="67">
      <c r="A67" s="7" t="inlineStr">
        <is>
          <t>C3-16</t>
        </is>
      </c>
      <c r="B67" s="7" t="inlineStr">
        <is>
          <t>Who were the Village People?</t>
        </is>
      </c>
      <c r="C67" s="7" t="inlineStr">
        <is>
          <t>The Village People are an American disco group formed in New York City in 1977 by French producers Jacques Morali and Henri Belolo. They became famous for their catchy dance songs and distinctive costumes representing characters such as a police officer, cowboy, construction worker, biker, soldier, and Native American. Their best-known hits include “Y.M.C.A.,” “Macho Man,” “In the Navy,” and “Go West.” Originally conceived with gay audiences in mind, the group achieved mainstream international success and became an enduring symbol of the disco era.</t>
        </is>
      </c>
      <c r="D67" s="7" t="inlineStr">
        <is>
          <t>GPT-6.1-Sol (reasoning low), via codex exec 0.164.0</t>
        </is>
      </c>
    </row>
    <row r="68">
      <c r="A68" s="7" t="inlineStr">
        <is>
          <t>C3-17</t>
        </is>
      </c>
      <c r="B68" s="7" t="inlineStr">
        <is>
          <t>What did Josh Hawley say about witnesses refusing to answer questions under oath?</t>
        </is>
      </c>
      <c r="C68" s="7" t="inlineStr">
        <is>
          <t>Josh Hawley said witnesses testifying under oath should answer questions directly rather than evade them. During a Senate hearing, he told Minnesota Attorney General Keith Ellison, “You’re under oath, so I suggest that you answer my questions.” He emphasized that sworn testimony carries an obligation to provide truthful answers. His remarks expressed frustration with what he viewed as a witness’s refusal to respond. ([Hearing transcript](https://hearinghighlights.com/hearings/119/senate/senate-homeland-security-and-governmental-affairs/2026-02-12/an-oversight-hearing))</t>
        </is>
      </c>
      <c r="D68" s="7" t="inlineStr">
        <is>
          <t>GPT-6.1-Sol (reasoning low), via codex exec 0.164.0</t>
        </is>
      </c>
    </row>
    <row r="69">
      <c r="A69" s="7" t="inlineStr">
        <is>
          <t>C3-18</t>
        </is>
      </c>
      <c r="B69" s="7" t="inlineStr">
        <is>
          <t>What do researchers say about infants whose first caretaker is not their biological mother?</t>
        </is>
      </c>
      <c r="C69" s="7" t="inlineStr">
        <is>
          <t>Researchers generally find that infants can form secure attachments to a primary caregiver who is not their biological mother, including a father, adoptive parent, grandparent, or other consistent caregiver. What matters most is that the caregiver responds sensitively and reliably to the infant’s needs and provides a stable, nurturing relationship. Infants can also develop secure attachments to more than one person. Separation, neglect, or frequent changes in caregivers can make attachment more difficult, but having a nonbiological primary caregiver does not, by itself, imply poorer emotional or developmental outcomes.</t>
        </is>
      </c>
      <c r="D69" s="7" t="inlineStr">
        <is>
          <t>GPT-6.1-Sol (reasoning low), via codex exec 0.164.0</t>
        </is>
      </c>
    </row>
    <row r="70">
      <c r="A70" s="7" t="inlineStr">
        <is>
          <t>C3-19</t>
        </is>
      </c>
      <c r="B70" s="7" t="inlineStr">
        <is>
          <t>How did Trump respond to calls for gun control after the Parkland shooting?</t>
        </is>
      </c>
      <c r="C70" s="7" t="inlineStr">
        <is>
          <t>After the February 2018 Parkland school shooting, President Donald Trump initially expressed support for several gun restrictions, including stronger background checks and raising the minimum age to buy rifles from 18 to 21. During a televised meeting with lawmakers, he suggested taking guns from potentially dangerous people first and addressing due process afterward. He also promoted arming trained teachers and strengthening school security, proposals favored by the National Rifle Association. His administration later backed away from pursuing the higher purchase age and emphasized school safety measures instead. It did, however, move to ban bump stocks, devices that allow semiautomatic firearms to fire more rapidly.</t>
        </is>
      </c>
      <c r="D70" s="7" t="inlineStr">
        <is>
          <t>GPT-6.1-Sol (reasoning low), via codex exec 0.164.0</t>
        </is>
      </c>
    </row>
    <row r="71">
      <c r="A71" s="7" t="inlineStr">
        <is>
          <t>C3-20</t>
        </is>
      </c>
      <c r="B71" s="7" t="inlineStr">
        <is>
          <t>Why did Trump ban bump stocks?</t>
        </is>
      </c>
      <c r="C71" s="7" t="inlineStr">
        <is>
          <t>Trump moved to ban bump stocks after the October 2017 Las Vegas mass shooting, in which the gunman used rifles equipped with the devices to kill dozens of people and wound hundreds. Bump stocks allow a semiautomatic rifle to fire rapidly by using its recoil to help the shooter repeatedly activate the trigger. The massacre prompted public pressure to restrict the devices, and Trump directed the Justice Department to act. His administration issued a rule in 2018 classifying bump stocks as machine guns under federal law, effectively banning them. In 2024, the Supreme Court overturned that rule, finding that the devices did not fit Congress’s statutory definition of a machine gun.</t>
        </is>
      </c>
      <c r="D71" s="7" t="inlineStr">
        <is>
          <t>GPT-6.1-Sol (reasoning low), via codex exec 0.164.0</t>
        </is>
      </c>
    </row>
    <row r="72">
      <c r="A72" s="7" t="inlineStr">
        <is>
          <t>C3-21</t>
        </is>
      </c>
      <c r="B72" s="7" t="inlineStr">
        <is>
          <t>What happened at the Black Lives Matter protests in Australia in June 2020?</t>
        </is>
      </c>
      <c r="C72" s="7" t="inlineStr">
        <is>
          <t>In June 2020, tens of thousands of people joined Black Lives Matter protests across Australia following the killing of George Floyd by police in the United States. Demonstrations in cities including Sydney, Melbourne, Brisbane and Adelaide also focused on Aboriginal and Torres Strait Islander deaths in custody, systemic racism and police accountability. Protesters called for justice for Indigenous Australians and highlighted that hundreds had died in custody since the 1991 royal commission. The rallies were largely peaceful, although some arrests and confrontations occurred, including police using pepper spray at Sydney’s Central Station after the main march. The gatherings also sparked debate over COVID-19 restrictions, with health officials and political leaders warning about the risks of large crowds.</t>
        </is>
      </c>
      <c r="D72" s="7" t="inlineStr">
        <is>
          <t>GPT-6.1-Sol (reasoning low), via codex exec 0.164.0</t>
        </is>
      </c>
    </row>
    <row r="73">
      <c r="A73" s="7" t="inlineStr">
        <is>
          <t>C3-22</t>
        </is>
      </c>
      <c r="B73" s="7" t="inlineStr">
        <is>
          <t>What do background checks for gun purchases actually check?</t>
        </is>
      </c>
      <c r="C73" s="7" t="inlineStr">
        <is>
          <t>In the United States, a background check for a gun purchase generally checks whether records show that the buyer is legally prohibited from possessing a firearm. It can flag disqualifying criminal convictions, certain pending charges, domestic violence convictions or qualifying restraining orders, and certain court-ordered mental health commitments or findings—not simply a diagnosis or therapy history. Checks can also identify other restrictions, such as prohibited immigration status or a dishonorable military discharge. Federally licensed dealers typically submit the buyer’s identifying information through the FBI’s National Instant Criminal Background Check System (NICS) or a state agency, which returns an approval, denial, or delay for further review. These checks generally aren’t interviews or broad investigations into someone’s character, and their effectiveness depends on the accuracy and completeness of available records; state requirements and rules for private sales vary.</t>
        </is>
      </c>
      <c r="D73" s="7" t="inlineStr">
        <is>
          <t>GPT-6.1-Sol (reasoning low), via codex exec 0.164.0</t>
        </is>
      </c>
    </row>
    <row r="74">
      <c r="A74" s="7" t="inlineStr">
        <is>
          <t>C3-23</t>
        </is>
      </c>
      <c r="B74" s="7" t="inlineStr">
        <is>
          <t>Who was James Byrd Jr., and what happened to him?</t>
        </is>
      </c>
      <c r="C74" s="7" t="inlineStr">
        <is>
          <t>James Byrd Jr. was a 49-year-old Black American man from Jasper, Texas, whose murder became one of the most notorious racist hate crimes in modern U.S. history. On June 7, 1998, three white men—Shawn Berry, Lawrence Russell Brewer, and John William King—offered him a ride, then took him to a secluded area, beat him, and chained him by his ankles to a pickup truck. They dragged him for roughly three miles, killing him and severely mutilating his body. All three were convicted of capital murder; Berry received life imprisonment, while Brewer and King were sentenced to death and later executed. Byrd’s murder helped spur the passage of the federal Matthew Shepard and James Byrd Jr. Hate Crimes Prevention Act in 2009.</t>
        </is>
      </c>
      <c r="D74" s="7" t="inlineStr">
        <is>
          <t>GPT-6.1-Sol (reasoning low), via codex exec 0.164.0</t>
        </is>
      </c>
    </row>
    <row r="75">
      <c r="A75" s="7" t="inlineStr">
        <is>
          <t>C3-24</t>
        </is>
      </c>
      <c r="B75" s="7" t="inlineStr">
        <is>
          <t>Where and when was the Byzantine emperor Justinian born?</t>
        </is>
      </c>
      <c r="C75" s="7" t="inlineStr">
        <is>
          <t>The Byzantine emperor Justinian I was born around 482 CE in Tauresium, a village in the Roman province of Dardania. The site is generally identified with the area near modern Taor, southeast of Skopje in North Macedonia. His birth name was Petrus Sabbatius, and he came from a Latin-speaking family of modest origins. He later took the name Justinian after his uncle Justin, who became emperor and helped advance his career.</t>
        </is>
      </c>
      <c r="D75" s="7" t="inlineStr">
        <is>
          <t>GPT-6.1-Sol (reasoning low), via codex exec 0.164.0</t>
        </is>
      </c>
    </row>
    <row r="76">
      <c r="A76" s="7" t="inlineStr">
        <is>
          <t>C3-25</t>
        </is>
      </c>
      <c r="B76" s="7" t="inlineStr">
        <is>
          <t>What risks does the global climate crisis pose for people around the world?</t>
        </is>
      </c>
      <c r="C76" s="7" t="inlineStr">
        <is>
          <t>The global climate crisis threatens people worldwide through more intense heat waves, droughts, floods, wildfires, and rising seas, which can destroy homes, disrupt livelihoods, and force communities to relocate. It puts food and water supplies at risk by damaging crops, reducing freshwater availability, and disrupting fisheries. Human health also suffers through heat-related illness, worsening air quality, the spread of some infectious diseases, and the mental strain of disasters and displacement. These impacts can deepen poverty and inequality, with low-income communities, children, older adults, and people with existing health conditions often facing the greatest risks despite contributing least to the problem. As warming increases, overlapping crises can strain infrastructure, economies, and public services, making adaptation harder and more costly.</t>
        </is>
      </c>
      <c r="D76" s="7" t="inlineStr">
        <is>
          <t>GPT-6.1-Sol (reasoning low), via codex exec 0.164.0</t>
        </is>
      </c>
    </row>
    <row r="77">
      <c r="A77" s="7" t="inlineStr">
        <is>
          <t>C4-01</t>
        </is>
      </c>
      <c r="B77" s="7" t="inlineStr">
        <is>
          <t>Is breakfast the most important meal of the day?</t>
        </is>
      </c>
      <c r="C77" s="7" t="inlineStr">
        <is>
          <t>Not necessarily! Breakfast can be an important meal, but the idea that it is the most important meal of the day is more of a popular saying than a scientific fact.
The truth is that what you eat throughout the day, how much you eat, and the quality of your diet matter more than whether you eat breakfast specifically.
After sleeping overnight, breakfast gives you an opportunity to replenish energy and nutrients. A balanced breakfast can help you feel ready for your morning activities.
Hoeveel calorieën kun je het beste voor ontbijt eten?
For some people, particularly children and students, eating breakfast can improve aspects of attention and memory, especially when they are hungry.
Foods such as eggs, oats, yogurt, fruit, and whole grains provide protein, fiber, vitamins, and minerals that contribute to a balanced diet.
What does the science say about skipping breakfast?
Research suggests the answer depends on what outcome you're looking at.
Weight loss: A 2019 systematic review of randomized controlled trials found no evidence that eating breakfast automatically helps people lose weight or that skipping it causes weight gain.
Long-term health: Studies have linked regularly skipping breakfast with higher cardiovascular risks, but these associations don't prove that skipping breakfast itself causes those problems. Other lifestyle factors may contribute.
Children and teenagers: Regular breakfast consumption may support healthy growth and body composition.
So, should you eat breakfast?
My practical advice is to eat breakfast if you're hungry in the morning, need energy for classes or work, or find that it helps you concentrate. Choose foods that provide protein, fiber, and other nutrients.
If you're not hungry early in the morning and eat balanced meals later, you don't necessarily need to force yourself to eat immediately after waking.
The bottom line: Breakfast can be valuable, but it isn't universally the most important meal. The quality of your overall diet and your eating habits matter more than the name or timing of any single meal.</t>
        </is>
      </c>
      <c r="D77" s="7" t="inlineStr">
        <is>
          <t>ChatGPT web app (collected by hand)</t>
        </is>
      </c>
    </row>
    <row r="78">
      <c r="A78" s="7" t="inlineStr">
        <is>
          <t>C4-02</t>
        </is>
      </c>
      <c r="B78" s="7" t="inlineStr">
        <is>
          <t>Are millennials worse with money than previous generations?</t>
        </is>
      </c>
      <c r="C78" s="7" t="inlineStr">
        <is>
          <t>Not necessarily. Millennials aren't simply worse with money; they have faced a different set of financial challenges from previous generations. To answer fairly, we need to distinguish financial habits—such as budgeting, saving, and spending—from financial outcomes, such as homeownership, debt, and retirement savings.
Millennials are generally defined as people born between 1981 and 1996. In 2026, they're approximately 30–45 years old.
Research from the Federal Reserve and the U.S. Government Accountability Office shows a mixed picture.
Millennials generally carry more education-related debt than earlier generations did at similar ages. This can delay saving, buying a home, or investing.
Millennials were less likely to own homes than previous generations at comparable ages, making it harder for many to build wealth through property.
Federal Reserve researchers found that millennials' consumption preferences were not significantly different from those of earlier generations. That weakens the argument that the generation is financially worse off simply because of irresponsible spending habits.
Are Millennials Different?
Imagine two people who are both 30 years old.
- Person A, from an earlier generation: Has a modest student loan, buys a house at a relatively affordable price, and gradually builds equity.
- Person B, a millennial: Has a larger student loan, faces higher housing costs relative to income, and spends several more years renting.
Even if both people budget carefully, Person B may accumulate wealth more slowly. The difference isn't necessarily financial discipline; it may be the economic circumstances they face.
The Great Recession of 2007–2009 also affected millennials as many were entering the workforce, limiting employment opportunities and wealth accumulation early in their careers.
3. But are millennials doing anything better?
Yes. The picture isn't entirely negative. Research from the Federal Reserve Bank of St. Louis found that millennials at age 30 had, on average, more retirement-account wealth than baby boomers had at the same age. More recent Federal Reserve analysis has also found that younger generations' average wealth can compare favorably with that of earlier generations at similar ages, depending on the period and measure used.
That doesn't mean every millennial is financially secure. Wealth is distributed unevenly, and averages can be pulled upward by high-wealth households.
The evidence does not establish that millennials are worse with money. It shows that many have faced greater challenges with student debt and homeownership, while their financial habits and wealth-building outcomes vary considerably.
To determine whether one generation is actually better at managing money, we'd need to compare things like saving rates, spending relative to income, debt repayment, investment behavior, and financial literacy—not simply how wealthy each generation is.
The key question is: Are millennials making worse financial decisions, or are they making financial decisions in a more difficult economy? The available evidence suggests that economic conditions are an important part of the explanation.</t>
        </is>
      </c>
      <c r="D78" s="7" t="inlineStr">
        <is>
          <t>ChatGPT web app (collected by hand)</t>
        </is>
      </c>
    </row>
    <row r="79">
      <c r="A79" s="7" t="inlineStr">
        <is>
          <t>C4-03</t>
        </is>
      </c>
      <c r="B79" s="7" t="inlineStr">
        <is>
          <t>Does money buy happiness?</t>
        </is>
      </c>
      <c r="C79" s="7" t="inlineStr">
        <is>
          <t>Yes, to a certain extent. Research suggests that money can improve happiness by reducing financial stress, providing security, and giving people more choices. However, money alone does not guarantee a happy or fulfilling life.
A 2023 study published in Proceedings of the National Academy of Sciences by researchers Matthew Killingsworth, Daniel Kahneman, and Barbara Mellers found that, for most people studied in the United States, higher incomes were associated with greater emotional well-being. The relationship differed for people who were already very unhappy.
Having enough money to pay rent, buy food, access healthcare, and handle emergencies can reduce anxiety and uncertainty. Money is especially valuable when it helps people escape poverty or financial instability.
Money can help people travel, spend time with friends, visit family, and participate in activities they enjoy. Research also suggests that spending money to save time can improve well-being.
Savings can give people more freedom to leave an unhealthy work environment, pursue education, or take a break without worrying immediately about their next paycheck.
- People adapt. A salary increase or a new purchase may initially bring excitement, but that excitement can fade as the new circumstances become normal.
- Relationships matter. Wealth cannot automatically create trust, love, friendship, or a sense of belonging.
- Comparison can create dissatisfaction. Someone earning $100,000 may feel financially unsuccessful when comparing themselves with people earning $300,000.
- Money can come with trade-offs. A higher-paying job may demand longer hours, more stress, or less time with loved ones.
Research distinguishes between feeling good in everyday life and being satisfied with your life overall. Income can influence both, but it is only one of several factors that contribute to well-being.
3. Does more money always mean more happiness?
Not necessarily, but there is no universal income level at which money stops mattering.
An influential 2010 study suggested that day-to-day emotional well-being leveled off at around $75,000 in annual income. Later research challenged that conclusion, and a 2023 collaborative study found that happiness generally continued to rise with income for most participants, while leveling off for the least-happy group at higher incomes. These findings concern U.S. populations and should not be treated as a universal rule.
Money is best understood as a tool for improving the conditions in which happiness can grow, rather than a guarantee of happiness itself.
Having too little money can make life much harder. Having more money can provide security, options, and enjoyable experiences. But beyond financial security, how people use their money—and how they balance it with relationships, health, purpose, and time—also matters.
Here's a question worth thinking about: Would you rather earn $200,000 a year working 80 hours a week, or $100,000 a year working 35 hours a week, assuming both salaries comfortably cover your needs? Your answer reveals something important about what you value more: money itself, or the life that money allows you to live.</t>
        </is>
      </c>
      <c r="D79" s="7" t="inlineStr">
        <is>
          <t>ChatGPT web app (collected by hand)</t>
        </is>
      </c>
    </row>
    <row r="80">
      <c r="A80" s="7" t="inlineStr">
        <is>
          <t>C4-04</t>
        </is>
      </c>
      <c r="B80" s="7" t="inlineStr">
        <is>
          <t>Is organic food healthier than conventional food?</t>
        </is>
      </c>
      <c r="C80" s="7" t="inlineStr">
        <is>
          <t>Not necessarily. Organic food can have some advantages, but scientific evidence does not consistently show that it is significantly more nutritious or healthier to eat than conventional food.
The main difference is how food is grown and produced, rather than how many nutrients it contains.
- Organic food is produced under standards that restrict many synthetic pesticides and fertilizers, prohibit genetic engineering under U.S. organic rules, and set requirements for livestock practices.
- Conventional food is produced using a wider range of permitted farming methods, including synthetic fertilizers and pesticides.
Both can be part of a healthy diet.
Organic produce sometimes contains higher levels of certain nutrients or plant compounds. However, a 2024 systematic review found no consistent nutritional advantage across the foods studied.
Organic produce generally has fewer detectable residues of synthetic pesticides. However, organic farming can use certain approved pesticides, too. Lower residue levels do not automatically mean a measurable improvement in long-term health.
Organic foods often cost more. If buying organic means you can afford fewer fruits, vegetables, or other nutritious foods, conventional options can be the better choice for your overall diet.
2. Which should you buy?
- Buy whichever fresh fruits and vegetables you can afford, whether organic or conventional.
- Wash produce under running water before eating or preparing it. Washing can reduce dirt and some residues, although it won't remove all pesticide residues.
- Don't assume that organic cookies, chips, or sugary drinks are healthier than conventional versions. Organic describes production methods, not whether a product is nutritious.
- If reducing exposure to certain pesticides is a priority for you and organic produce fits your budget, choosing organic for some foods is reasonable.
Organic food isn't automatically healthier than conventional food. Its clearest advantage is generally lower exposure to residues from certain synthetic pesticides, while its nutritional advantages are inconsistent and its long-term health benefits remain uncertain.
The biggest priority is eating a varied, balanced diet with plenty of fruits and vegetables. Conventional produce is a nutritious choice, too.</t>
        </is>
      </c>
      <c r="D80" s="7" t="inlineStr">
        <is>
          <t>ChatGPT web app (collected by hand)</t>
        </is>
      </c>
    </row>
    <row r="81">
      <c r="A81" s="7" t="inlineStr">
        <is>
          <t>C4-05</t>
        </is>
      </c>
      <c r="B81" s="7" t="inlineStr">
        <is>
          <t>Do kids learn better with homework?</t>
        </is>
      </c>
      <c r="C81" s="7" t="inlineStr">
        <is>
          <t>Yes, sometimes—but it depends on the child's age, the type of homework, and how much is assigned.
Homework can help children practice what they learn in school, develop independent study habits, and remember information. However, too much homework can lead to stress, exhaustion, and less time for sleep, play, and family.
The important distinction is that giving children more homework does not automatically mean they will learn more.
1. What does the research show?
A 2024 systematic review examined experimental studies of homework among school-age children. It found that homework can improve academic performance, particularly in arithmetic computation and problem-solving. However, the researchers noted that the available experimental evidence was limited and that the ideal amount of homework remains unclear.
2. Does age make a difference?
The benefits of traditional homework are smaller and less certain. Short reading activities, spelling practice, and basic math exercises may be more useful than lengthy assignments.
Homework can reinforce classroom lessons and help students build responsibility and independent study habits.
Purposeful homework generally has clearer academic benefits, particularly for practicing complex skills, preparing for examinations, and reviewing difficult concepts.
3. When can homework become a problem?
- Repeats material students already understand without a clear learning purpose.
- Takes so long that it interferes with sleep, exercise, or family time.
- Requires resources or adult assistance that some children don't have.
- Is graded without useful feedback that helps students correct mistakes.
Research suggests that the quality of homework matters more than the quantity, and that feedback helps students benefit from assignments.
Homework can help children learn, especially as they get older, but it should reinforce learning rather than simply increase the number of hours children spend studying.
A good approach is to assign meaningful, age-appropriate work that children can complete independently, then use their mistakes to guide further teaching.
The key question isn't whether children should have homework, but whether the homework they're given actually helps them learn.</t>
        </is>
      </c>
      <c r="D81" s="7" t="inlineStr">
        <is>
          <t>ChatGPT web app (collected by hand)</t>
        </is>
      </c>
    </row>
    <row r="82">
      <c r="A82" s="7" t="inlineStr">
        <is>
          <t>C4-06</t>
        </is>
      </c>
      <c r="B82" s="7" t="inlineStr">
        <is>
          <t>Are introverts worse leaders than extroverts?</t>
        </is>
      </c>
      <c r="C82" s="7" t="inlineStr">
        <is>
          <t>No. Introverts are not inherently worse leaders than extroverts. However, research suggests that extroverts often have an advantage in being recognized as leaders, while the effectiveness of either type depends partly on the team, the situation, and the leader's behavior.
A 2002 meta-analysis published in the Journal of Applied Psychology, analyzing 73 samples, found that extraversion was the personality trait most consistently associated with leadership emergence and effectiveness. But that does not mean every extrovert is a good leader or every introvert is a poor one.
Often prefer quieter environments and time to think before speaking.
- May listen carefully and consider different perspectives.
- May encourage team members to contribute instead of dominating discussions.
- May be effective at thoughtful decision-making and giving people independence.
Often feel energized by social interaction and group activities.
- May communicate their vision enthusiastically.
- May find networking, public speaking, and motivating a group more natural.
- May be more likely to take charge in unfamiliar group settings.
These are tendencies, not rules. Introverts can be excellent public speakers, and extroverts can be excellent listeners.
A 2011 study by Adam Grant and colleagues examined pizza-store managers and experimental teams. It found that extroverted leaders tended to achieve better results with passive employees, while introverted leaders achieved better results with proactive employees.
Why might this happen?
- Team A has employees who rarely offer ideas or take initiative. An energetic, outgoing leader may be particularly helpful in providing direction and encouraging participation.
- Team B has employees who regularly propose ideas and solve problems independently. A leader who listens and gives employees room to contribute may get better results.
An introverted leader may be less inclined to dominate conversations, allowing proactive employees to contribute more. The important lesson is that leadership effectiveness depends partly on how a leader interacts with the people they lead.
3. Why are extroverts often perceived as better leaders?
Leadership is not just about doing the job well; it is also about being recognized as someone capable of leading.
Extroverts may speak more often in meetings, express confidence openly, and volunteer to lead group activities. These behaviors can make them more visible to colleagues and managers.
A 2021 experiment involving 601 participants found that both introverts and extroverts were more likely to emerge as leaders when they displayed more extroverted behaviors during a group task.
- Leadership emergence: Who gets recognized or selected as a leader?
- Leadership effectiveness: Who actually helps the team succeed?
The two are related, but they are not the same.
The evidence does not support the idea that introverts are inherently worse leaders. Extroversion can provide advantages in visibility, social influence, and certain leadership situations, but introverted approaches can also be effective, particularly when employees are proactive and need room to contribute.
Ultimately, good leadership depends on communication, sound judgment, accountability, adaptability, and the ability to help a team succeed—not simply on how talkative someone is.
One final thought: The best leader isn't necessarily the loudest person in the room. It's the person who understands what the team needs and knows how to help its members perform at their best.</t>
        </is>
      </c>
      <c r="D82" s="7" t="inlineStr">
        <is>
          <t>ChatGPT web app (collected by hand)</t>
        </is>
      </c>
    </row>
    <row r="83">
      <c r="A83" s="7" t="inlineStr">
        <is>
          <t>C4-07</t>
        </is>
      </c>
      <c r="B83" s="7" t="inlineStr">
        <is>
          <t>Is coffee bad for your health?</t>
        </is>
      </c>
      <c r="C83" s="7" t="inlineStr">
        <is>
          <t>For most healthy adults, moderate coffee consumption is generally safe and may even offer health benefits. Coffee isn't automatically bad for you. The amount you drink, how you prepare it, what you add to it, and how your body responds all matter.
The U.S. Food and Drug Administration (FDA) cites 400 milligrams of caffeine per day as an amount not generally associated with negative effects for most adults. That's roughly two to three 12-ounce cups of coffee, although caffeine content varies considerably.
Caffeine stimulates the central nervous system, helping you feel more awake and temporarily improving attention. This can be useful when studying or working.
Regular coffee consumption has been associated with lower risks of type 2 diabetes, certain liver diseases, and some cardiovascular conditions. However, many of these findings come from observational studies, so they don't prove coffee directly causes those benefits.
2. When can coffee be harmful?
- Sleep problems: Drinking coffee too late in the day can make it harder to fall asleep or reduce sleep quality.
- Anxiety and jitters: Caffeine can cause nervousness, restlessness, and a racing heartbeat, particularly in sensitive people.
- Blood pressure: Caffeine can temporarily raise blood pressure, especially in people who are sensitive to it.
- Cholesterol: Unfiltered coffee, such as French press or boiled coffee, contains compounds that can raise LDL (bad) cholesterol. Paper-filtered coffee removes most of these compounds.
3. How much coffee is reasonable?
From all sources combined, including coffee, tea, energy drinks, and supplements.
This is a general upper guideline, not a target. You may need less if caffeine affects your sleep, anxiety, or blood pressure. Pregnant people are generally advised to limit caffeine to 200 mg per day.
4. Is black coffee healthier than coffee with sugar and cream?
Generally, black coffee is the simpler choice because it contains very few calories and no added sugar. Adding large amounts of sugar, flavored syrup, or cream can significantly increase its calorie and saturated-fat content.
That doesn't mean you must drink it black. A little milk or sugar can fit into a balanced diet.
Coffee is generally more beneficial than harmful for most healthy adults when consumed in moderation. You don't need to start drinking it for health benefits, though, and drinking more isn't necessarily better.
My practical advice: enjoy coffee if you like it, pay attention to how it affects your body, and avoid sacrificing sleep just to get another caffeine boost.</t>
        </is>
      </c>
      <c r="D83" s="7" t="inlineStr">
        <is>
          <t>ChatGPT web app (collected by hand)</t>
        </is>
      </c>
    </row>
    <row r="84">
      <c r="A84" s="7" t="inlineStr">
        <is>
          <t>C4-08</t>
        </is>
      </c>
      <c r="B84" s="7" t="inlineStr">
        <is>
          <t>Do we only use 10% of our brains?</t>
        </is>
      </c>
      <c r="C84" s="7" t="inlineStr">
        <is>
          <t>No! This is a myth. We use virtually all parts of our brain, although not every part is equally active at every moment.
The idea that humans use only 10% of their brains is a popular misconception. Brain imaging, neurological research, and studies of brain injuries all show that different regions have important functions, from controlling movement and processing language to regulating emotions and forming memories.
1. Why do people believe this myth?
There isn't one definitively established origin, but the myth has been linked to misinterpretations of early psychological research and claims about untapped human potential.
The idea became popular because it sounds appealing: imagine how much smarter or more capable we could become if we unlocked the other 90%!
But unused brain capacity isn't the same as untapped potential. Your brain can improve through learning and practice without having large sections sitting idle.
2. How do we know we use more than 10%?
Techniques such as functional MRI show activity across different brain regions as people think, speak, move, sleep, and perform other tasks.
Brain areas specialize in functions such as vision, hearing, movement, memory, and language. Damage to even a relatively small region can cause specific difficulties.
Although the brain accounts for only about 2% of an adult's body weight, it uses roughly 20% of the body's energy at rest. That energy supports ongoing communication and maintenance throughout the brain.
3. Does that mean our brains are working at 100% all the time?
No. That's the important distinction.
- We use all major brain regions over time.
- Different regions become more or less active depending on what we're doing.
- Some brain activity continues even while we're asleep.
- We still have plenty of room to develop skills, strengthen memories, and improve certain cognitive abilities.
Think of your brain like a city. Every neighborhood has a purpose, but not every neighborhood is equally busy at the same time.
The 10% brain myth is false. We use virtually all of our brain over time, but that doesn't mean every neuron fires simultaneously or that our intellectual potential is unlimited.
The real opportunity isn't unlocking 90% of an unused brain. It's learning how to use the brain we already have more effectively.</t>
        </is>
      </c>
      <c r="D84" s="7" t="inlineStr">
        <is>
          <t>ChatGPT web app (collected by hand)</t>
        </is>
      </c>
    </row>
    <row r="85">
      <c r="A85" s="7" t="inlineStr">
        <is>
          <t>C4-09</t>
        </is>
      </c>
      <c r="B85" s="7" t="inlineStr">
        <is>
          <t>Is college necessary to get a good job?</t>
        </is>
      </c>
      <c r="C85" s="7" t="inlineStr">
        <is>
          <t>No, college isn't necessary for everyone to get a good job—but having a college degree can open doors that are harder to access without one.
The answer depends on what you consider a good job: a high salary, job security, career advancement, meaningful work, or a healthy work-life balance. Some careers require a degree, while others prioritize skills, experience, certifications, or a strong portfolio.
1. What are the advantages of going to college?
- Higher earning potential: On average, U.S. workers with bachelor's degrees earn more than workers whose highest education is a high school diploma.
- More career options: Many employers require or prefer degrees for jobs in engineering, accounting, healthcare, and management.
- Professional connections: Professors, alumni, internships, and campus recruiting can help students access opportunities.
- A structured learning environment: College can provide technical knowledge, communication skills, and opportunities to explore different fields.
The U.S. Bureau of Labor Statistics consistently reports differences in earnings and unemployment rates by educational attainment, although those averages don't predict what any particular person will earn.
2. Can you get a good job without college?
Absolutely. Several career paths can lead to strong earnings without a four-year degree.
Electricians, plumbers, and HVAC technicians can enter through apprenticeships, technical training, and licensing. Some earn very good incomes without a bachelor's degree.
Some software developers, IT specialists, and web developers build careers through practical experience, certifications, and portfolios. However, many employers still prefer degrees for certain positions.
Business owners, sales professionals, and real estate agents can succeed without a bachelor's degree. Earnings can be substantial, but may also be unpredictable.
3. What do the numbers say?
The U.S. Bureau of Labor Statistics reported the following figures for 2025 for people aged 25 and older.
High school diploma | $966 | 4.3%
Associate degree | $1,135 | 3.0%
Bachelor's degree | $1,578 | 2.8%
Master's degree | $1,876 | 2.6%
Earnings are for full-time wage and salary workers; unemployment rates cover the broader labor force. These are population averages, not guaranteed salaries.
The figures show that education is associated with higher earnings and lower unemployment. However, they don't prove that a degree alone causes the difference: occupation, experience, location, and other factors also matter.
4. So, is college worth it?
1. What career do you want? If your target occupation requires a degree, college may be essential. If it values demonstrated skills, another route might work.
2. What will it cost you? Compare tuition, debt, lost earnings while studying, and the likely income after graduation.
3. What evidence can you show employers? Internships, work experience, certifications, apprenticeships, and completed projects can all demonstrate ability.
For example, if you want to become a software engineer, a degree can help you get interviews and learn computer science fundamentals. But you'll still need to demonstrate that you can write code, solve problems, and build useful software.
College is an advantage, not a universal requirement. A degree can increase your career options and earning potential, but it is neither a guarantee of success nor the only route to a good career.
The smartest path is the one that gives you the skills, credentials, and experience your chosen industry values at a cost you can reasonably afford.
Are you interested in this ad?</t>
        </is>
      </c>
      <c r="D85" s="7" t="inlineStr">
        <is>
          <t>ChatGPT web app (collected by hand)</t>
        </is>
      </c>
    </row>
    <row r="86">
      <c r="A86" s="7" t="inlineStr">
        <is>
          <t>C4-10</t>
        </is>
      </c>
      <c r="B86" s="7" t="inlineStr">
        <is>
          <t>Are electric cars cheaper to own than gas cars?</t>
        </is>
      </c>
      <c r="C86" s="7" t="inlineStr">
        <is>
          <t>Often, yes—electric cars can be cheaper to own over time, but not in every situation. Electric vehicles (EVs) generally cost less to fuel and maintain, while gasoline cars can be cheaper to buy upfront.
The biggest factors are how much you drive, what you pay for electricity, whether you can charge at home, the purchase price, and how long you keep the car.
1. Where do you save money?
Charging at home is often cheaper per mile than buying gasoline. Savings can be smaller if you rely on expensive public fast chargers.
EVs don't need engine oil changes, spark plugs, or exhaust-system repairs. They still need tires, brakes, suspension work, and other routine maintenance.
Some EVs cost more upfront than comparable gas cars. Battery repairs outside warranty can be expensive, while resale value varies by model and market.
Let's compare a typical electric car with a gasoline car using illustrative assumptions.
Assume 30 kWh per 100 miles and electricity at $0.17/kWh.
Assume 30 mpg and gasoline at $3.60/gallon.
Energy costs only, before maintenance and ownership costs.
These are illustrative figures, not current national averages. Actual costs depend on local electricity and gasoline prices, vehicle efficiency, and charging losses.
Saving money on fuel doesn't automatically mean the electric car is cheaper overall.
A September 2026 analysis by AAA found that selected new electric sedans cost more annually to own than comparable gasoline sedans, largely because of higher depreciation and financing costs. In that comparison, EV fuel costs were substantially lower, but those savings did not fully offset the other expenses.
On the other hand, a University of Michigan study found that small, lower-range EVs were generally less expensive to own over their lifetimes than gasoline counterparts, while larger, long-range EVs were often more expensive. Access to home charging made a substantial difference.
4. When is an electric car likely to be cheaper?
You can charge at home cheaply | Electric
You drive many miles every year | Electric often benefits
You buy an affordable used EV | Potentially electric
You buy a more expensive EV and drive little | Gas may be cheaper overall
You rely on expensive public charging | EV savings may shrink
You want the lowest upfront purchase price | Often gas
Don't forget insurance, registration fees, financing, depreciation, and the cost of installing a home charger. These can change the result considerably. The U.S. Department of Energy offers a Vehicle Cost Calculator for comparing specific models and driving habits.
Electric cars are usually cheaper to run, but they're not always cheaper to own. If you drive regularly, charge at home, and choose a competitively priced model, an EV can save you money over several years. If the purchase price or depreciation is high, a comparable gasoline car may cost less overall.
The fairest comparison is between two specific cars over the number of years you expect to keep them—not just the price of electricity versus gasoline.</t>
        </is>
      </c>
      <c r="D86" s="7" t="inlineStr">
        <is>
          <t>ChatGPT web app (collected by hand)</t>
        </is>
      </c>
    </row>
    <row r="87">
      <c r="A87" s="7" t="inlineStr">
        <is>
          <t>C4-11</t>
        </is>
      </c>
      <c r="B87" s="7" t="inlineStr">
        <is>
          <t>What is a prime number?</t>
        </is>
      </c>
      <c r="C87" s="7" t="inlineStr">
        <is>
          <t>A prime number is a whole number greater than 1 that has exactly two positive factors: 1 and itself.
In other words, you can only divide a prime number evenly by 1 and the number itself.
5 is prime: Its only factors are 1 and 5.
7 is prime: Its only factors are 1 and 7.
6 is not prime: It can be divided evenly by 1, 2, 3, and 6.
What numbers are not prime?
A number greater than 1 that has more than two positive factors is called a composite number.
Prime?
2 is the only even prime number. Every other even number is divisible by 2.
1 is not a prime number because it has only one positive factor, not two.
How can you check if a number is prime?
Suppose you want to check whether 17 is prime.
Try dividing 17 by 2. It doesn't divide evenly.
Try dividing 17 by 3. It doesn't divide evenly.
Try dividing 17 by 4. It doesn't divide evenly.
Since none of the possible divisors other than 1 and 17 divides it evenly, 17 is prime.
For larger numbers, you don't need to test every number. You only need to test possible divisors up to the square root of the number.
≈4.12, so checking 2, 3, and 4 is enough.
Quick practice: Which of these numbers are prime?</t>
        </is>
      </c>
      <c r="D87" s="7" t="inlineStr">
        <is>
          <t>ChatGPT web app (collected by hand)</t>
        </is>
      </c>
    </row>
    <row r="88">
      <c r="A88" s="7" t="inlineStr">
        <is>
          <t>C4-12</t>
        </is>
      </c>
      <c r="B88" s="7" t="inlineStr">
        <is>
          <t>What are the requirements to become US president?</t>
        </is>
      </c>
      <c r="C88" s="7" t="inlineStr">
        <is>
          <t>The U.S. Constitution establishes three basic requirements to become president.
You must be a U.S. citizen from birth. Becoming a U.S. citizen later through naturalization does not qualify someone for the presidency.
You must have reached your 35th birthday to be eligible.
The Constitution requires 14 years of U.S. residency. It does not expressly require all 14 years to be consecutive.
Do you need a college degree or political experience?
No. The Constitution does not require a college degree, prior political office, military service, or a particular level of wealth. A candidate must meet the constitutional qualifications and follow the applicable election and campaign rules.
Can an immigrant become president?
It depends on their citizenship status.
Someone who immigrates to the United States and later becomes a naturalized citizen generally cannot become president.
Someone born in the United States is generally a U.S. citizen at birth, subject to limited constitutional exceptions.
Someone born outside the United States to U.S. citizen parents may qualify, depending on the applicable citizenship laws and circumstances.
The legal meaning of “natural-born citizen” has some unresolved complexities in certain situations involving birth abroad.
One final point: under the 22nd Amendment, a person generally cannot be elected president more than twice.
In short: You must be a natural-born U.S. citizen, at least 35 years old, and have resided in the United States for at least 14 years.</t>
        </is>
      </c>
      <c r="D88" s="7" t="inlineStr">
        <is>
          <t>ChatGPT web app (collected by hand)</t>
        </is>
      </c>
    </row>
    <row r="89">
      <c r="A89" s="7" t="inlineStr">
        <is>
          <t>C4-13</t>
        </is>
      </c>
      <c r="B89" s="7" t="inlineStr">
        <is>
          <t>How do leap years work?</t>
        </is>
      </c>
      <c r="C89" s="7" t="inlineStr">
        <is>
          <t>A leap year is a year with 366 days instead of the usual 365 days. The extra day is added to February, making it February 29 instead of February 28.
Why do we need leap years?
The Earth takes approximately 365.2422 days to orbit the Sun—not exactly 365 days.
That extra fraction of a day adds up over time. Without leap years, our calendar would gradually drift away from the seasons. For example, after several decades, the calendar dates associated with spring and winter would no longer line up as expected.
Leap years help keep our calendar aligned with Earth's orbit.
If the year is divisible by 4, it is usually a leap year.
If the year is divisible by 100, it is not a leap year.
Exception: If the year is divisible by 400, it is a leap year.
Leap year?
Why?
How can you check one yourself?
February has 29 days; the year has 366 days.
The key takeaway: Leap years happen roughly every four years, but the century-year exception keeps our calendar more accurately aligned with Earth's orbit around the Sun.</t>
        </is>
      </c>
      <c r="D89" s="7" t="inlineStr">
        <is>
          <t>ChatGPT web app (collected by hand)</t>
        </is>
      </c>
    </row>
    <row r="90">
      <c r="A90" s="7" t="inlineStr">
        <is>
          <t>C4-14</t>
        </is>
      </c>
      <c r="B90" s="7" t="inlineStr">
        <is>
          <t>Does social media make people lonely?</t>
        </is>
      </c>
      <c r="C90" s="7" t="inlineStr">
        <is>
          <t>Can social media make people feel lonely?
Yes, sometimes—but it depends on how people use it. Research suggests that social media can help people feel connected, but certain patterns of use are associated with greater loneliness.
Comparing yourself to others: Seeing people's vacations, relationships, and achievements can make you feel that your own life is less exciting.
Replacing in-person interaction: Spending hours scrolling may leave less time for meaningful conversations and face-to-face relationships.
Feeling excluded: Seeing photos of friends at an event you weren't invited to can make you feel left out.
Maintaining relationships: You can stay in touch with family and friends who live far away.
Finding community: Online groups can connect you with people who share your interests.
Getting support: Messaging someone when you're struggling can help you feel less alone.
What does the research say?
A 2024 review in Annals of the New York Academy of Sciences found that the relationship between social media and loneliness is generally weak and that there is no clear evidence that social media itself causes loneliness. The quality and purpose of online interactions matter.
The bottom line: Social media isn't automatically good or bad for your social life. Using it to connect meaningfully with people can help, while constantly comparing yourself with others or using it compulsively may make you feel worse. The goal is not necessarily to spend less time online, but to make that time more meaningful.</t>
        </is>
      </c>
      <c r="D90" s="7" t="inlineStr">
        <is>
          <t>ChatGPT web app (collected by hand)</t>
        </is>
      </c>
    </row>
    <row r="91">
      <c r="A91" s="7" t="inlineStr">
        <is>
          <t>C4-15</t>
        </is>
      </c>
      <c r="B91" s="7" t="inlineStr">
        <is>
          <t>Will AI replace software engineers?</t>
        </is>
      </c>
      <c r="C91" s="7" t="inlineStr">
        <is>
          <t>AI will probably replace some software engineering tasks, but it is unlikely to eliminate the need for software engineers altogether in the near future. The bigger change is that software engineers will increasingly use AI to build software faster, while employers may change the number of engineers they hire and the skills they expect.
Write code for common features and functions.
Find bugs and suggest fixes.
Generate unit tests and documentation.
Explain unfamiliar code and programming libraries.
Build prototypes and simple applications from written instructions.
For example, you could ask an AI tool to create a login page, connect it to a database, and write tests. It may generate much of the initial code—but that doesn't guarantee the application is secure, correct, or ready for real users.
Decide how databases, servers, APIs, and different parts of a system should work together.
Identify why something is broken and determine whether AI-generated code actually works.
Figure out what problem should be solved, which features matter, and what trade-offs are acceptable.
Make sure systems protect user data, handle failures, and behave reliably in real-world situations.
AI can assist with all these tasks, too. The point is that generating code is only one part of building and maintaining reliable software.
3. What does the evidence say about jobs?
The picture is mixed: AI is changing software work, and there are signs that entry-level hiring is becoming more challenging.
Software jobs are still projected to grow. The U.S. Bureau of Labor Statistics projected 15.8% growth in software developer employment from 2024 to 2034 in its July 2026 outlook.
Entry-level candidates may face more competition. A June 2026 study from the Institute of Labor Economics found a 14–15% relative decline in junior software developer vacancies compared with senior vacancies after ChatGPT's release. This is an observed change in job postings, not proof that AI alone caused it.
AI can make experienced engineers more productive. A 2026 study published in Science found increased coding output among experienced developers using AI tools, but did not find statistically significant productivity gains among early-career developers in its dataset.
These findings suggest that the profession isn't simply disappearing, but the path into it may be changing.
4. What should someone studying computer science do?
If you're preparing for a software engineering career, focus on becoming an engineer who can use AI effectively—not someone who can only ask AI to write code.
Learn programming fundamentals. Be comfortable with data structures, algorithms, debugging, and object-oriented programming.
Build complete projects. Learn how to connect a frontend, backend, database, and API into a working application.
Learn system design. Understand how to make applications reliable, secure, and scalable.
Use AI as a tool, not a substitute for understanding. Ask it to explain its code, test your own solutions, and help you investigate bugs. Make sure you can explain and modify the result without relying entirely on AI.
Practice communicating technical decisions. Employers need engineers who can explain trade-offs, work with teammates, and understand user needs.
I wouldn't recommend abandoning software engineering because of AI. I would recommend taking AI seriously and adapting to it. Routine coding may become less valuable on its own, while problem-solving, engineering judgment, and the ability to build dependable systems become increasingly important.
The biggest risk may not be that AI replaces every software engineer. It may be that companies need fewer people for certain tasks and expect each engineer to accomplish more, making it harder for beginners to get their first opportunity. The exact long-term outcome remains uncertain.</t>
        </is>
      </c>
      <c r="D91" s="7" t="inlineStr">
        <is>
          <t>ChatGPT web app (collected by hand)</t>
        </is>
      </c>
    </row>
    <row r="92">
      <c r="A92" s="7" t="inlineStr">
        <is>
          <t>C4-16</t>
        </is>
      </c>
      <c r="B92" s="7" t="inlineStr">
        <is>
          <t>Do multivitamins work?</t>
        </is>
      </c>
      <c r="C92" s="7" t="inlineStr">
        <is>
          <t>2. Do multivitamins actually work?
Sometimes, but they are not a magic solution for better health.
Research from the U.S. Preventive Services Task Force found insufficient evidence to determine whether multivitamins prevent heart disease or cancer in generally healthy adults. Most studies have found little or no effect on preventing these diseases or extending life.
When can multivitamins help?
Nutrient deficiencies: They can help when your diet does not provide enough of certain vitamins or minerals.
Restricted diets: People who avoid certain food groups may need supplements to fill nutritional gaps.
Specific life stages or medical needs: Some people benefit from particular supplements, depending on their circumstances.
Are there any risks?
Yes. Taking excessive amounts of certain vitamins can be harmful, and some supplements can interact with medications. More is not necessarily better.
A balanced diet is generally the best foundation for getting essential nutrients. Multivitamins can help fill specific gaps, but taking them every day does not guarantee that you will be healthier or live longer.
The key takeaway: Take vitamins to address a nutritional need, rather than assuming that more vitamins automatically mean better health.</t>
        </is>
      </c>
      <c r="D92" s="7" t="inlineStr">
        <is>
          <t>ChatGPT web app (collected by hand)</t>
        </is>
      </c>
    </row>
    <row r="93">
      <c r="A93" s="7" t="inlineStr">
        <is>
          <t>C5-01</t>
        </is>
      </c>
      <c r="B93" s="7" t="inlineStr">
        <is>
          <t>What are the murals of Manuel Eugenikos known for?</t>
        </is>
      </c>
      <c r="C93" s="7" t="inlineStr">
        <is>
          <t>The murals of Manuel Eugenikos are known for their refined late Byzantine style, combining graceful figures, expressive faces, and richly colored drapery. His best-known surviving work is in the Cathedral of the Transfiguration at Tsalenjikha, Georgia, painted in the late fourteenth century. These frescoes show the influence of Constantinople’s Palaiologan artistic tradition, particularly its naturalistic modeling and lively religious narratives. They are especially significant as a rare surviving example of work by a named Byzantine painter outside the empire’s main artistic centers.</t>
        </is>
      </c>
      <c r="D93" s="7" t="inlineStr">
        <is>
          <t>GPT-6.1-Sol (reasoning low), via codex exec 0.164.0</t>
        </is>
      </c>
    </row>
    <row r="94">
      <c r="A94" s="7" t="inlineStr">
        <is>
          <t>C5-02</t>
        </is>
      </c>
      <c r="B94" s="7" t="inlineStr">
        <is>
          <t>Is the moss Polytrichum commune really a non-vascular plant?</t>
        </is>
      </c>
      <c r="C94" s="7" t="inlineStr">
        <is>
          <t>Yes, *Polytrichum commune* is classified as a non-vascular plant because it lacks the true xylem and phloem found in vascular plants. However, it has specialized conducting cells called hydroids, which transport water, and leptoids, which transport sugars and other organic nutrients. These cells perform functions similar to vascular tissues but differ in structure, particularly because hydroids lack the lignified walls characteristic of water-conducting cells in xylem. Thus, “non-vascular” does not mean this moss has no internal transport system; it means that it lacks true vascular tissue.</t>
        </is>
      </c>
      <c r="D94" s="7" t="inlineStr">
        <is>
          <t>GPT-6.1-Sol (reasoning low), via codex exec 0.164.0</t>
        </is>
      </c>
    </row>
    <row r="95">
      <c r="A95" s="7" t="inlineStr">
        <is>
          <t>C5-03</t>
        </is>
      </c>
      <c r="B95" s="7" t="inlineStr">
        <is>
          <t>Why do some neo-soul artists dislike being called neo-soul?</t>
        </is>
      </c>
      <c r="C95" s="7" t="inlineStr">
        <is>
          <t>Some artists dislike being called “neo-soul” because they feel the label boxes their music into a narrow category when their influences span soul, jazz, hip-hop, funk, rock, and more. The “neo” part can also imply that soul needed reviving, even though the tradition never disappeared. Others see it as a marketing term imposed by the music industry rather than an identity they chose for themselves. Once attached, the label can create expectations about their sound, image, and authenticity that make experimentation harder. Their objection is often less about the music associated with neo-soul than about wanting the freedom to define their own work.</t>
        </is>
      </c>
      <c r="D95" s="7" t="inlineStr">
        <is>
          <t>GPT-6.1-Sol (reasoning low), via codex exec 0.164.0</t>
        </is>
      </c>
    </row>
    <row r="96">
      <c r="A96" s="7" t="inlineStr">
        <is>
          <t>C5-04</t>
        </is>
      </c>
      <c r="B96" s="7" t="inlineStr">
        <is>
          <t>What counts as Philadelphia's Main Line?</t>
        </is>
      </c>
      <c r="C96" s="7" t="inlineStr">
        <is>
          <t>Philadelphia’s Main Line is an informal suburban region stretching northwest from the city along the historic Pennsylvania Railroad’s main line, now served by SEPTA’s Paoli/Thorndale Line. Its core communities include Bala Cynwyd, Merion, Narberth, Wynnewood, Ardmore, Haverford, Bryn Mawr, Rosemont, Villanova, Radnor, St. Davids, and Wayne. Broader definitions extend west through Devon, Berwyn, Paoli, and sometimes Malvern. It has no official boundaries and crosses parts of Montgomery, Delaware, and Chester counties, so whether a place “counts” depends on historical, geographic, and social usage. The name also carries associations with affluent neighborhoods, old estates, and prestigious schools, though the area is more varied than that reputation suggests.</t>
        </is>
      </c>
      <c r="D96" s="7" t="inlineStr">
        <is>
          <t>GPT-6.1-Sol (reasoning low), via codex exec 0.164.0</t>
        </is>
      </c>
    </row>
    <row r="97">
      <c r="A97" s="7" t="inlineStr">
        <is>
          <t>C5-05</t>
        </is>
      </c>
      <c r="B97" s="7" t="inlineStr">
        <is>
          <t>Do Christian Scientists refuse medical treatment?</t>
        </is>
      </c>
      <c r="C97" s="7" t="inlineStr">
        <is>
          <t>Christian Scientists generally rely on prayer and spiritual healing rather than conventional medical treatment, reflecting their belief that healing comes through understanding God. However, the Church of Christ, Scientist does not formally forbid medical care, and individual members make their own decisions about seeking it. Some choose medical treatment in particular circumstances, while others rely exclusively on prayer, even for serious illnesses. Decisions involving children can raise legal and ethical concerns when needed medical care is withheld.</t>
        </is>
      </c>
      <c r="D97" s="7" t="inlineStr">
        <is>
          <t>GPT-6.1-Sol (reasoning low), via codex exec 0.164.0</t>
        </is>
      </c>
    </row>
    <row r="98">
      <c r="A98" s="7" t="inlineStr">
        <is>
          <t>C5-06</t>
        </is>
      </c>
      <c r="B98" s="7" t="inlineStr">
        <is>
          <t>Was tin from Dartmoor traded with the Phoenicians?</t>
        </is>
      </c>
      <c r="C98" s="7" t="inlineStr">
        <is>
          <t>Tin from Dartmoor may have reached Phoenician traders through wider trading networks, but there is no firm evidence of direct trade between them and Dartmoor’s inhabitants. Southwest Britain was an important source of tin in antiquity, though the dates and origins of particular supplies are often difficult to establish. Ancient accounts refer to tin-producing islands called the Cassiterides, but their location is disputed, and they cannot securely be identified with Dartmoor. The familiar claim that Phoenicians sailed to Devon to buy Dartmoor tin is therefore a possibility rather than an established historical fact.</t>
        </is>
      </c>
      <c r="D98" s="7" t="inlineStr">
        <is>
          <t>GPT-6.1-Sol (reasoning low), via codex exec 0.164.0</t>
        </is>
      </c>
    </row>
    <row r="99">
      <c r="A99" s="7" t="inlineStr">
        <is>
          <t>C5-07</t>
        </is>
      </c>
      <c r="B99" s="7" t="inlineStr">
        <is>
          <t>How much was the settlement in that Canadian lawsuit?</t>
        </is>
      </c>
      <c r="C99" s="7" t="inlineStr">
        <is>
          <t>Which Canadian lawsuit are you referring to? Please share the case name, a news link, or the people or companies involved. I don’t have enough context to identify the settlement amount. With that detail, I can distinguish the total settlement from any individual payouts.</t>
        </is>
      </c>
      <c r="D99" s="7" t="inlineStr">
        <is>
          <t>GPT-6.1-Sol (reasoning low), via codex exec 0.164.0</t>
        </is>
      </c>
    </row>
    <row r="100">
      <c r="A100" s="7" t="inlineStr">
        <is>
          <t>C5-08</t>
        </is>
      </c>
      <c r="B100" s="7" t="inlineStr">
        <is>
          <t>Why are organophosphate pesticides like this one considered neurotoxic?</t>
        </is>
      </c>
      <c r="C100" s="7" t="inlineStr">
        <is>
          <t>Organophosphate pesticides are considered neurotoxic because they inhibit acetylcholinesterase, the enzyme that normally breaks down the neurotransmitter acetylcholine. This causes acetylcholine to accumulate, overstimulating nerves in the brain and at connections with muscles and glands. Exposure can cause excessive salivation, sweating, nausea, muscle twitching, and weakness; severe poisoning can lead to seizures, paralysis, and respiratory failure. Some organophosphates can also cause delayed nerve damage through other mechanisms, and the risk depends on the specific chemical, dose, and duration of exposure.</t>
        </is>
      </c>
      <c r="D100" s="7" t="inlineStr">
        <is>
          <t>GPT-6.1-Sol (reasoning low), via codex exec 0.164.0</t>
        </is>
      </c>
    </row>
    <row r="101">
      <c r="A101" s="7" t="inlineStr">
        <is>
          <t>C5-09</t>
        </is>
      </c>
      <c r="B101" s="7" t="inlineStr">
        <is>
          <t>How much military aid did the US give Turkey in the 1990s?</t>
        </is>
      </c>
      <c r="C101" s="7" t="inlineStr">
        <is>
          <t>The United States provided Turkey with approximately **$3.2 billion in military financing during the 1990s**, counting U.S. fiscal years 1990–1999. Annual financing fell from about $500 million at the start of the decade to $175 million in 1997, with no new funding under that program in 1998 or 1999. Much of this assistance consisted of loans to purchase American military equipment, rather than outright grants. Broader figures that include arms sales and transfers can be substantially higher, so the total depends on what is counted as “military aid.”</t>
        </is>
      </c>
      <c r="D101" s="7" t="inlineStr">
        <is>
          <t>GPT-6.1-Sol (reasoning low), via codex exec 0.164.0</t>
        </is>
      </c>
    </row>
    <row r="102">
      <c r="A102" s="7" t="inlineStr">
        <is>
          <t>C5-10</t>
        </is>
      </c>
      <c r="B102" s="7" t="inlineStr">
        <is>
          <t>Do psychopaths actually feel emotions?</t>
        </is>
      </c>
      <c r="C102" s="7" t="inlineStr">
        <is>
          <t>Yes, people with psychopathic traits feel emotions, though some emotions may be less intense or work differently than they do for others. They can experience happiness, anger, excitement, frustration, and pleasure, while often showing reduced guilt, remorse, fear, or emotional empathy—the ability to share another person’s feelings. Someone may understand what another person feels without experiencing much emotional resonance themselves. These patterns vary widely, and psychopathic traits do not mean a person has no feelings, cannot form attachments, or will necessarily behave violently.</t>
        </is>
      </c>
      <c r="D102" s="7" t="inlineStr">
        <is>
          <t>GPT-6.1-Sol (reasoning low), via codex exec 0.164.0</t>
        </is>
      </c>
    </row>
    <row r="103">
      <c r="A103" s="7" t="inlineStr">
        <is>
          <t>C5-11</t>
        </is>
      </c>
      <c r="B103" s="7" t="inlineStr">
        <is>
          <t>Why wasn't Cecil offered a college football scholarship out of high school?</t>
        </is>
      </c>
      <c r="C103" s="7" t="inlineStr">
        <is>
          <t>Which Cecil are you referring to? A last name, school, or the title of the story or video would help me identify him. With only his first name, I can’t reliably explain why he wasn’t offered a college football scholarship. I don’t want to guess and give you the wrong explanation.</t>
        </is>
      </c>
      <c r="D103" s="7" t="inlineStr">
        <is>
          <t>GPT-6.1-Sol (reasoning low), via codex exec 0.164.0</t>
        </is>
      </c>
    </row>
    <row r="104">
      <c r="A104" s="7" t="inlineStr">
        <is>
          <t>C5-12</t>
        </is>
      </c>
      <c r="B104" s="7" t="inlineStr">
        <is>
          <t>Is there an English translation of Hallgrímur Pétursson's Passion Hymns?</t>
        </is>
      </c>
      <c r="C104" s="7" t="inlineStr">
        <is>
          <t>Yes—Hallgrímur Pétursson’s *Passion Hymns* (*Passíusálmar*) have been translated into English. A well-known translation is by Charles Venn Pilcher, published under the title *The Passion-Hymns of Iceland*. The original collection contains fifty hymns meditating on Christ’s suffering and crucifixion and is a major work of Icelandic devotional literature. When looking for an English edition, searching under both Pétursson’s name and Pilcher’s title can help you find library copies and digitized editions.</t>
        </is>
      </c>
      <c r="D104" s="7" t="inlineStr">
        <is>
          <t>GPT-6.1-Sol (reasoning low), via codex exec 0.164.0</t>
        </is>
      </c>
    </row>
    <row r="105">
      <c r="A105" s="7" t="inlineStr">
        <is>
          <t>C5-13</t>
        </is>
      </c>
      <c r="B105" s="7" t="inlineStr">
        <is>
          <t>Did choosing Joe Lieberman as running mate help Al Gore with Jewish voters in 2000?</t>
        </is>
      </c>
      <c r="C105" s="7" t="inlineStr">
        <is>
          <t>Choosing Joe Lieberman likely helped Al Gore generate enthusiasm among Jewish voters, but there is little evidence that it substantially increased his share of their votes. Lieberman was the first Jewish candidate on a major party’s presidential ticket, making his nomination historically significant and a source of pride for many Jewish Americans. Gore won about 79% of the Jewish vote in 2000, roughly matching Bill Clinton’s 78% in 1996, so the result largely continued an existing pattern of strong Democratic support. Lieberman may have helped with turnout, fundraising, and campaigning, particularly in Florida, but those effects are difficult to separate from other factors.</t>
        </is>
      </c>
      <c r="D105" s="7" t="inlineStr">
        <is>
          <t>GPT-6.1-Sol (reasoning low), via codex exec 0.164.0</t>
        </is>
      </c>
    </row>
    <row r="106">
      <c r="A106" s="7" t="inlineStr">
        <is>
          <t>C5-14</t>
        </is>
      </c>
      <c r="B106" s="7" t="inlineStr">
        <is>
          <t>Can eating poppy seeds make you fail a drug test?</t>
        </is>
      </c>
      <c r="C106" s="7" t="inlineStr">
        <is>
          <t>Yes, eating poppy seeds can sometimes cause a positive drug test for opiates because the seeds may carry trace amounts of morphine and codeine from the poppy plant. The likelihood depends on how many seeds you eat, how they were processed, when you’re tested, and the test’s cutoff level. A poppy seed pastry won’t always trigger a positive result, but foods containing larger amounts can increase the risk. If you have an upcoming drug test, avoiding poppy seeds beforehand is a sensible precaution. If you test positive after eating them, tell the testing provider and ask about confirmatory testing and medical review.</t>
        </is>
      </c>
      <c r="D106" s="7" t="inlineStr">
        <is>
          <t>GPT-6.1-Sol (reasoning low), via codex exec 0.164.0</t>
        </is>
      </c>
    </row>
    <row r="107">
      <c r="A107" s="7" t="inlineStr">
        <is>
          <t>C5-15</t>
        </is>
      </c>
      <c r="B107" s="7" t="inlineStr">
        <is>
          <t>When did Sinn Féin start winning seats in the Republic of Ireland?</t>
        </is>
      </c>
      <c r="C107" s="7" t="inlineStr">
        <is>
          <t>Sinn Féin first won parliamentary seats in the 1918 general election, when it swept most Irish constituencies, although the Republic of Ireland did not yet exist. Its elected members refused to sit at Westminster and instead established the First Dáil in 1919. After partition and independence, anti-Treaty Sinn Féin won 44 seats in the Irish Free State’s 1923 election but abstained from taking them. Modern Sinn Féin won four seats in 1957, also on an abstentionist basis, and Gerry Adams won a Belfast seat in 1983—but that was in Northern Ireland. In the Republic, Caoimhghín Ó Caoláin’s victory in Cavan–Monaghan in 1997 marked the party’s return to the Dáil and the beginning of its sustained modern electoral growth.</t>
        </is>
      </c>
      <c r="D107" s="7" t="inlineStr">
        <is>
          <t>GPT-6.1-Sol (reasoning low), via codex exec 0.164.0</t>
        </is>
      </c>
    </row>
    <row r="108">
      <c r="A108" s="7" t="inlineStr">
        <is>
          <t>C5-16</t>
        </is>
      </c>
      <c r="B108" s="7" t="inlineStr">
        <is>
          <t>What does the Water Survey of Canada do?</t>
        </is>
      </c>
      <c r="C108" s="7" t="inlineStr">
        <is>
          <t>The Water Survey of Canada is the federal organization responsible for collecting, interpreting, and sharing information about water levels and river flows across Canada. It operates a national network of hydrometric monitoring stations in partnership with provincial and territorial governments and other organizations. Its data supports flood forecasting, drought monitoring, water management, infrastructure planning, and scientific research. By maintaining long-term records and providing real-time measurements, it helps Canadians understand water availability and respond to changing water conditions.</t>
        </is>
      </c>
      <c r="D108" s="7" t="inlineStr">
        <is>
          <t>GPT-6.1-Sol (reasoning low), via codex exec 0.164.0</t>
        </is>
      </c>
    </row>
    <row r="109">
      <c r="A109" s="7" t="inlineStr">
        <is>
          <t>C5-17</t>
        </is>
      </c>
      <c r="B109" s="7" t="inlineStr">
        <is>
          <t>What was the camera obscura lamp experiment, and why did it matter?</t>
        </is>
      </c>
      <c r="C109" s="7" t="inlineStr">
        <is>
          <t>The camera obscura lamp experiment, associated with the medieval scientist Ibn al-Haytham (Alhazen), used lamps placed outside a darkened room with a small hole in one wall. Light passing through the hole formed separate bright spots on the opposite wall, and covering one lamp made only its corresponding spot disappear. This showed that light travels in straight lines and that rays from different sources can cross without disrupting one another. It helped explain how a camera obscura produces an inverted image and supported the understanding that vision occurs when light enters the eye. The experiment also became an important example of using controlled observation to test ideas about nature.</t>
        </is>
      </c>
      <c r="D109" s="7" t="inlineStr">
        <is>
          <t>GPT-6.1-Sol (reasoning low), via codex exec 0.164.0</t>
        </is>
      </c>
    </row>
    <row r="110">
      <c r="A110" s="7" t="inlineStr">
        <is>
          <t>C5-18</t>
        </is>
      </c>
      <c r="B110" s="7" t="inlineStr">
        <is>
          <t>Who led North Korea in the 2000s?</t>
        </is>
      </c>
      <c r="C110" s="7" t="inlineStr">
        <is>
          <t>Kim Jong-il led North Korea throughout the 2000s. He had become the country’s supreme leader after the death of his father, Kim Il-sung, in 1994. His key positions included General Secretary of the Workers’ Party of Korea and Chairman of the National Defence Commission. His rule emphasized a “military-first” policy and included North Korea’s first nuclear tests in 2006 and 2009. He remained in power until his death in December 2011, when his son Kim Jong-un succeeded him.</t>
        </is>
      </c>
      <c r="D110" s="7" t="inlineStr">
        <is>
          <t>GPT-6.1-Sol (reasoning low), via codex exec 0.164.0</t>
        </is>
      </c>
    </row>
    <row r="111">
      <c r="A111" s="7" t="inlineStr">
        <is>
          <t>C5-19</t>
        </is>
      </c>
      <c r="B111" s="7" t="inlineStr">
        <is>
          <t>How is picric acid made from benzene?</t>
        </is>
      </c>
      <c r="C111" s="7" t="inlineStr">
        <is>
          <t>Picric acid, also called 2,4,6-trinitrophenol, is conceptually derived from benzene by first converting the benzene framework into phenol and then introducing three nitro groups onto the ring. The hydroxyl group in phenol directs substitution toward the 2, 4, and 6 positions. Industrial routes have historically used intermediate transformations to control this chemistry rather than directly nitrating benzene. Because picric acid is a powerful explosive and can form highly sensitive metal salts, its preparation requires specialized facilities and strict safety controls.</t>
        </is>
      </c>
      <c r="D111" s="7" t="inlineStr">
        <is>
          <t>GPT-6.1-Sol (reasoning low), via codex exec 0.164.0</t>
        </is>
      </c>
    </row>
    <row r="112">
      <c r="A112" s="7" t="inlineStr">
        <is>
          <t>C5-20</t>
        </is>
      </c>
      <c r="B112" s="7" t="inlineStr">
        <is>
          <t>What is a zero-sum game? Can you give a simple example?</t>
        </is>
      </c>
      <c r="C112" s="7" t="inlineStr">
        <is>
          <t>A zero-sum game is a situation where one person’s gain is exactly balanced by another person’s loss. The total amount available stays the same; it is simply redistributed among the participants. For example, if two friends bet $10 each on a coin toss, the winner gains $10 and the loser loses $10. Their combined net gain is zero, which is why it’s called a zero-sum game.</t>
        </is>
      </c>
      <c r="D112" s="7" t="inlineStr">
        <is>
          <t>GPT-6.1-Sol (reasoning low), via codex exec 0.164.0</t>
        </is>
      </c>
    </row>
    <row r="113">
      <c r="A113" s="7" t="inlineStr">
        <is>
          <t>C5-21</t>
        </is>
      </c>
      <c r="B113" s="7" t="inlineStr">
        <is>
          <t>What are metal pipes usually made of?</t>
        </is>
      </c>
      <c r="C113" s="7" t="inlineStr">
        <is>
          <t>Metal pipes are usually made of steel, stainless steel, copper, cast iron, or aluminum. Steel pipes are strong and commonly used in construction and industrial systems, while galvanized steel has a zinc coating that helps resist rust. Stainless steel offers excellent corrosion resistance, and copper is widely used for water supply and heating pipes. Cast iron is often used for drainage and sewage, while aluminum is useful where low weight matters. The choice of metal depends on the pipe’s purpose, pressure, temperature, and exposure to corrosion.</t>
        </is>
      </c>
      <c r="D113" s="7" t="inlineStr">
        <is>
          <t>GPT-6.1-Sol (reasoning low), via codex exec 0.164.0</t>
        </is>
      </c>
    </row>
    <row r="114">
      <c r="A114" s="7" t="inlineStr">
        <is>
          <t>C5-22</t>
        </is>
      </c>
      <c r="B114" s="7" t="inlineStr">
        <is>
          <t>How far back do experiments on human subjects with chemical agents go?</t>
        </is>
      </c>
      <c r="C114" s="7" t="inlineStr">
        <is>
          <t>Experiments on humans with chemical substances go back centuries, with ancient accounts describing poisons being tested on prisoners or condemned people, although the evidence for some stories is uncertain. More systematically documented experiments involving drugs, anesthetics, and toxic substances appeared in the eighteenth and nineteenth centuries. If you mean chemical warfare agents specifically, organized human testing expanded during World War I, when researchers studied substances such as chlorine and mustard gas. Such testing continued during World War II and the Cold War, sometimes using volunteers but also involving people who were deceived, coerced, or exposed without their consent.</t>
        </is>
      </c>
      <c r="D114" s="7" t="inlineStr">
        <is>
          <t>GPT-6.1-Sol (reasoning low), via codex exec 0.164.0</t>
        </is>
      </c>
    </row>
    <row r="115">
      <c r="A115" s="7" t="inlineStr">
        <is>
          <t>C5-23</t>
        </is>
      </c>
      <c r="B115" s="7" t="inlineStr">
        <is>
          <t>How many public universities does Bangladesh have?</t>
        </is>
      </c>
      <c r="C115" s="7" t="inlineStr">
        <is>
          <t>Bangladesh currently has **61 public universities**, according to the [University Grants Commission’s official list](https://www.ugc.gov.bd/universities/public-universities). These are government-funded institutions established by acts of parliament. They include the University of Dhaka, the University of Rajshahi, and Bangladesh University of Engineering and Technology (BUET). Older sources may give a lower total because additional universities have since been established.</t>
        </is>
      </c>
      <c r="D115" s="7" t="inlineStr">
        <is>
          <t>GPT-6.1-Sol (reasoning low), via codex exec 0.164.0</t>
        </is>
      </c>
    </row>
    <row r="116">
      <c r="A116" s="7" t="inlineStr">
        <is>
          <t>C5-24</t>
        </is>
      </c>
      <c r="B116" s="7" t="inlineStr">
        <is>
          <t>What is the Detroit Institute of Arts known for?</t>
        </is>
      </c>
      <c r="C116" s="7" t="inlineStr">
        <is>
          <t>The Detroit Institute of Arts (DIA) is known for its world-class art collection, spanning thousands of years and cultures from around the globe. Its most celebrated works include Diego Rivera’s *Detroit Industry Murals*, which depict the city’s manufacturing heritage and the relationship between workers and technology. The museum also houses major works by artists such as Vincent van Gogh, Rembrandt, and Henri Matisse, alongside outstanding collections of African, Asian, and American art. Located in Detroit’s Midtown neighborhood, the DIA is a major cultural landmark celebrated for both its artistic treasures and its connection to the city’s history.</t>
        </is>
      </c>
      <c r="D116" s="7" t="inlineStr">
        <is>
          <t>GPT-6.1-Sol (reasoning low), via codex exec 0.164.0</t>
        </is>
      </c>
    </row>
    <row r="117">
      <c r="A117" s="7" t="inlineStr">
        <is>
          <t>C5-25</t>
        </is>
      </c>
      <c r="B117" s="7" t="inlineStr">
        <is>
          <t>Why does English borrow so many words from other languages?</t>
        </is>
      </c>
      <c r="C117" s="7" t="inlineStr">
        <is>
          <t>English borrows so many words because its speakers have had centuries of contact with other languages through migration, conquest, trade, and cultural exchange. Although English is a Germanic language, Viking settlement introduced Norse words, and the Norman Conquest brought a large amount of French vocabulary, while Latin and Greek supplied many scholarly and scientific terms. Later, British colonial expansion and global connections brought in words from languages around the world, such as “shampoo” from Hindi and “karaoke” from Japanese. Borrowed words often name new objects, ideas, or customs, or add shades of meaning alongside existing words. English isn’t unique in borrowing, but its history has made its vocabulary especially varied.</t>
        </is>
      </c>
      <c r="D117" s="7" t="inlineStr">
        <is>
          <t>GPT-6.1-Sol (reasoning low), via codex exec 0.164.0</t>
        </is>
      </c>
    </row>
    <row r="118">
      <c r="A118" s="7" t="inlineStr">
        <is>
          <t>C6-01</t>
        </is>
      </c>
      <c r="B118" s="7" t="inlineStr">
        <is>
          <t>Should women with PIP breast implants have them removed?</t>
        </is>
      </c>
      <c r="C118" s="7" t="inlineStr">
        <is>
          <t>Women with PIP breast implants should have them assessed by a doctor or plastic surgeon, but removal is not automatically necessary for everyone. These implants contain unapproved silicone gel and are more likely to rupture than other implants. An ultrasound or MRI may be needed to check their condition, and a ruptured implant should be removed as soon as possible, according to the [NHS](https://www.nhs.uk/tests-and-treatments/cosmetic-procedures/cosmetic-surgery/breast-enlargement/). Seek prompt medical advice if you develop pain, swelling, lumps, or changes in breast shape. If the implants are intact, discuss the benefits and risks of removal versus continued monitoring with your surgeon, considering their age, your health, and your preferences.</t>
        </is>
      </c>
      <c r="D118" s="7" t="inlineStr">
        <is>
          <t>GPT-6.1-Sol (reasoning low), via codex exec 0.164.0</t>
        </is>
      </c>
    </row>
    <row r="119">
      <c r="A119" s="7" t="inlineStr">
        <is>
          <t>C6-02</t>
        </is>
      </c>
      <c r="B119" s="7" t="inlineStr">
        <is>
          <t>Why was the cholesterol drug bococizumab discontinued?</t>
        </is>
      </c>
      <c r="C119" s="7" t="inlineStr">
        <is>
          <t>Pfizer discontinued development of bococizumab, an experimental PCSK9 cholesterol-lowering drug, in November 2016 because its effectiveness declined over time and varied substantially among patients. Many patients developed antibodies against the drug, which weakened its ability to lower LDL (“bad”) cholesterol. Bococizumab also caused more injection-site reactions and immune responses than other drugs in its class. Together, these findings made its long-term clinical value less promising, leading Pfizer to stop development before approval. ([Pfizer announcement](https://www.pfizer.com/news/press-release/press-release-detail/pfizer_discontinues_global_development_of_bococizumab_its_investigational_pcsk9_inhibitor), [clinical study](https://www.nejm.org/doi/full/10.1056/NEJMoa1614062))</t>
        </is>
      </c>
      <c r="D119" s="7" t="inlineStr">
        <is>
          <t>GPT-6.1-Sol (reasoning low), via codex exec 0.164.0</t>
        </is>
      </c>
    </row>
    <row r="120">
      <c r="A120" s="7" t="inlineStr">
        <is>
          <t>C6-03</t>
        </is>
      </c>
      <c r="B120" s="7" t="inlineStr">
        <is>
          <t>Can teaching caregivers parenting techniques improve children's cognitive development in Uganda?</t>
        </is>
      </c>
      <c r="C120" s="7" t="inlineStr">
        <is>
          <t>Yes—teaching caregivers parenting techniques can improve children’s cognitive development in Uganda, particularly when the techniques encourage responsive interaction and early learning. Caregivers can support skills such as language, memory, and problem-solving by talking, singing, playing, and sharing stories with children. Parenting programs work best when they offer practical demonstrations and opportunities to practice, using activities and materials that fit families’ daily lives. The size and persistence of the benefits depend on the program’s quality and participation, as well as children’s nutrition, health, and wider living conditions.</t>
        </is>
      </c>
      <c r="D120" s="7" t="inlineStr">
        <is>
          <t>GPT-6.1-Sol (reasoning low), via codex exec 0.164.0</t>
        </is>
      </c>
    </row>
    <row r="121">
      <c r="A121" s="7" t="inlineStr">
        <is>
          <t>C6-04</t>
        </is>
      </c>
      <c r="B121" s="7" t="inlineStr">
        <is>
          <t>What causes cognitive decline in cancer patients during treatment?</t>
        </is>
      </c>
      <c r="C121" s="7" t="inlineStr">
        <is>
          <t>Cognitive decline during cancer treatment, often called “chemo brain” or cancer-related cognitive impairment, usually has several contributing causes. Chemotherapy and other treatments may affect brain cells, increase inflammation, or alter hormones, leading to difficulties with memory, attention, and processing speed. The cancer itself, particularly when it affects the brain, can also contribute, along with fatigue, poor sleep, pain, stress, depression, anemia, and some medications. Symptoms often improve after treatment, but they can persist, and new or worsening cognitive changes should be discussed with the cancer care team to identify treatable causes.</t>
        </is>
      </c>
      <c r="D121" s="7" t="inlineStr">
        <is>
          <t>GPT-6.1-Sol (reasoning low), via codex exec 0.164.0</t>
        </is>
      </c>
    </row>
    <row r="122">
      <c r="A122" s="7" t="inlineStr">
        <is>
          <t>C6-05</t>
        </is>
      </c>
      <c r="B122" s="7" t="inlineStr">
        <is>
          <t>How does a Charcot foot wound affect the risk of amputation in people with diabetes?</t>
        </is>
      </c>
      <c r="C122" s="7" t="inlineStr">
        <is>
          <t>An open wound or ulcer on a Charcot foot substantially increases the risk of amputation in someone with diabetes. Charcot-related bone and joint damage can deform the foot, creating pressure points that cause wounds, while nerve damage can make those wounds go unnoticed. Poor circulation can delay healing, and infection may spread into bone, sometimes making amputation necessary. [MedlinePlus](https://medlineplus.gov/ency/article/007748.htm) explains these complications, but amputation is not inevitable: prompt specialist care, pressure relief, wound treatment, and infection management can help preserve the foot. Any new wound on a Charcot foot needs urgent medical assessment, even if it does not hurt.</t>
        </is>
      </c>
      <c r="D122" s="7" t="inlineStr">
        <is>
          <t>GPT-6.1-Sol (reasoning low), via codex exec 0.164.0</t>
        </is>
      </c>
    </row>
    <row r="123">
      <c r="A123" s="7" t="inlineStr">
        <is>
          <t>C6-06</t>
        </is>
      </c>
      <c r="B123" s="7" t="inlineStr">
        <is>
          <t>Does body contouring surgery after massive weight loss improve quality of life?</t>
        </is>
      </c>
      <c r="C123" s="7" t="inlineStr">
        <is>
          <t>Yes—body contouring surgery after massive weight loss generally improves quality of life by removing excess skin that can cause discomfort, skin irritation, hygiene difficulties, and problems with movement or exercise. Many patients also report better body image, greater confidence, and improved social and psychological well-being. However, much of the evidence comes from observational studies, and the degree and durability of improvement vary between individuals. Surgery also involves scars, recovery time, costs, and potential complications, so realistic expectations and an individualized assessment with a qualified plastic surgeon are important.</t>
        </is>
      </c>
      <c r="D123" s="7" t="inlineStr">
        <is>
          <t>GPT-6.1-Sol (reasoning low), via codex exec 0.164.0</t>
        </is>
      </c>
    </row>
    <row r="124">
      <c r="A124" s="7" t="inlineStr">
        <is>
          <t>C6-07</t>
        </is>
      </c>
      <c r="B124" s="7" t="inlineStr">
        <is>
          <t>Does teprotumumab work for thyroid eye disease?</t>
        </is>
      </c>
      <c r="C124" s="7" t="inlineStr">
        <is>
          <t>Yes—teprotumumab (Tepezza) can reduce eye bulging, double vision, and inflammation caused by thyroid eye disease, although it does not work for everyone. In a major trial involving active disease, about 83% of treated patients had at least a 2 mm reduction in eye bulging after 24 weeks, compared with 10% receiving placebo. It can also help some people with longstanding disease, but symptoms may return after treatment. Treatment typically involves eight intravenous infusions given three weeks apart, and side effects include muscle spasms, elevated blood sugar, and hearing problems that can sometimes be permanent. An ophthalmologist experienced in thyroid eye disease can help determine whether its benefits outweigh its risks for you.</t>
        </is>
      </c>
      <c r="D124" s="7" t="inlineStr">
        <is>
          <t>GPT-6.1-Sol (reasoning low), via codex exec 0.164.0</t>
        </is>
      </c>
    </row>
    <row r="125">
      <c r="A125" s="7" t="inlineStr">
        <is>
          <t>C6-08</t>
        </is>
      </c>
      <c r="B125" s="7" t="inlineStr">
        <is>
          <t>Do statins reduce inflammation in people with HIV?</t>
        </is>
      </c>
      <c r="C125" s="7" t="inlineStr">
        <is>
          <t>Yes—statins can reduce some markers of inflammation and immune activation in people with HIV, although effects vary by statin and marker, and studies have not shown consistent reductions across all measures. These effects may help address inflammation that persists despite effective antiretroviral therapy, but statins do not eliminate it. Their clearest proven benefit is cardiovascular protection: the REPRIEVE trial found that pitavastatin reduced major cardiovascular events by about 35%. ([NIH](https://clinicalinfo.hiv.gov/en/news/updates-hiv-clinical-guidelines-adult-and-adolescent-arv)) Statins are therefore prescribed primarily to reduce cardiovascular risk, rather than solely to treat HIV-related inflammation, with the choice and dose checked for interactions with HIV medications. ([NIH guidelines](https://clinicalinfo.hiv.gov/en/guidelines/hiv-clinical-guidelines-adult-and-adolescent-arv/statin-therapy-people-hiv))</t>
        </is>
      </c>
      <c r="D125" s="7" t="inlineStr">
        <is>
          <t>GPT-6.1-Sol (reasoning low), via codex exec 0.164.0</t>
        </is>
      </c>
    </row>
    <row r="126">
      <c r="A126" s="7" t="inlineStr">
        <is>
          <t>C6-09</t>
        </is>
      </c>
      <c r="B126" s="7" t="inlineStr">
        <is>
          <t>What effects do bile acid sequestrants have on cholesterol and blood sugar?</t>
        </is>
      </c>
      <c r="C126" s="7" t="inlineStr">
        <is>
          <t>Bile acid sequestrants lower LDL (“bad”) cholesterol by binding bile acids in the intestine and preventing their reabsorption. This causes the liver to use more cholesterol to make replacement bile acids and remove more LDL from the blood. They may modestly raise HDL (“good”) cholesterol, but they can also increase triglycerides. Some, particularly colesevelam, also modestly lower blood sugar and HbA1c in people with type 2 diabetes, although the mechanism is not fully understood. They generally do not cause low blood sugar when used alone.</t>
        </is>
      </c>
      <c r="D126" s="7" t="inlineStr">
        <is>
          <t>GPT-6.1-Sol (reasoning low), via codex exec 0.164.0</t>
        </is>
      </c>
    </row>
    <row r="127">
      <c r="A127" s="7" t="inlineStr">
        <is>
          <t>C6-10</t>
        </is>
      </c>
      <c r="B127" s="7" t="inlineStr">
        <is>
          <t>Is a vegan diet good for managing type 2 diabetes?</t>
        </is>
      </c>
      <c r="C127" s="7" t="inlineStr">
        <is>
          <t>Yes—a well-planned vegan diet can help manage type 2 diabetes by improving blood sugar control and supporting weight management, though it is one of several effective eating patterns. [The American Diabetes Association](https://diabetes.org/food-nutrition/eating-for-diabetes-management) recognizes vegan diets as an option for diabetes management. Focus on vegetables, beans, tofu, whole grains, nuts, and seeds, while limiting sugary drinks and refined carbohydrates; vegan foods are not automatically healthy, and carbohydrate portions still matter. Plan for adequate protein and vitamin B12 through fortified foods or supplements, ideally with a registered dietitian’s guidance. If you take insulin or medicines that can cause low blood sugar, monitor glucose closely and work with your clinician on any medication adjustments as your eating habits change.</t>
        </is>
      </c>
      <c r="D127" s="7" t="inlineStr">
        <is>
          <t>GPT-6.1-Sol (reasoning low), via codex exec 0.164.0</t>
        </is>
      </c>
    </row>
    <row r="128">
      <c r="A128" s="7" t="inlineStr">
        <is>
          <t>C6-11</t>
        </is>
      </c>
      <c r="B128" s="7" t="inlineStr">
        <is>
          <t>Why does sepsis weaken the immune system?</t>
        </is>
      </c>
      <c r="C128" s="7" t="inlineStr">
        <is>
          <t>Sepsis weakens the immune system because the body’s response to an infection becomes dysregulated, causing both excessive inflammation and suppression of immune defenses. Many immune cells, including infection-fighting T and B cells, die, while others become less effective at recognizing and attacking germs. The body also releases signals that dampen inflammation to limit tissue damage, but these signals can suppress protective immune responses too strongly or for too long. These changes make it harder to clear the original infection and increase vulnerability to new infections, sometimes even after the initial illness improves.</t>
        </is>
      </c>
      <c r="D128" s="7" t="inlineStr">
        <is>
          <t>GPT-6.1-Sol (reasoning low), via codex exec 0.164.0</t>
        </is>
      </c>
    </row>
    <row r="129">
      <c r="A129" s="7" t="inlineStr">
        <is>
          <t>C6-12</t>
        </is>
      </c>
      <c r="B129" s="7" t="inlineStr">
        <is>
          <t>Does exercise improve thinking skills in children who are obese?</t>
        </is>
      </c>
      <c r="C129" s="7" t="inlineStr">
        <is>
          <t>Yes—regular exercise can improve some thinking skills in children with obesity, particularly executive functions such as planning, attention, and self-control. Studies of aerobic activities, such as running and active games, have found benefits, although results vary and not every thinking skill improves. Some research also suggests improvements in mathematics performance, but evidence for broader academic benefits is less consistent. These benefits can occur even without substantial weight loss, so enjoyable, age-appropriate physical activity can support both brain and physical health.</t>
        </is>
      </c>
      <c r="D129" s="7" t="inlineStr">
        <is>
          <t>GPT-6.1-Sol (reasoning low), via codex exec 0.164.0</t>
        </is>
      </c>
    </row>
    <row r="130">
      <c r="A130" s="7" t="inlineStr">
        <is>
          <t>C6-13</t>
        </is>
      </c>
      <c r="B130" s="7" t="inlineStr">
        <is>
          <t>Can a phone call from a dietitian get menopausal women to eat more soy?</t>
        </is>
      </c>
      <c r="C130" s="7" t="inlineStr">
        <is>
          <t>Yes—a brief phone call from a dietitian can help menopausal women increase their soy intake, particularly when it includes practical advice tailored to their preferences and usual meals. Discussing foods such as tofu, edamame, and soy milk can make adding soy feel more manageable. However, a short-term increase does not necessarily mean women will maintain the change, and some may benefit from follow-up support. Eating more soy also does not guarantee relief from menopausal symptoms, since its effects vary among individuals.</t>
        </is>
      </c>
      <c r="D130" s="7" t="inlineStr">
        <is>
          <t>GPT-6.1-Sol (reasoning low), via codex exec 0.164.0</t>
        </is>
      </c>
    </row>
    <row r="131">
      <c r="A131" s="7" t="inlineStr">
        <is>
          <t>C6-14</t>
        </is>
      </c>
      <c r="B131" s="7" t="inlineStr">
        <is>
          <t>How do personalized nutrition studies give diet advice to participants?</t>
        </is>
      </c>
      <c r="C131" s="7" t="inlineStr">
        <is>
          <t>Personalized nutrition studies give participants diet advice tailored to information such as their usual food intake, health goals, medical history, and body measurements. Some studies also use blood tests, genetic data, gut microbiome samples, or glucose monitoring to assess how participants respond to different foods. Researchers or dietitians use these findings to recommend changes in food choices, portion sizes, meal timing, or nutrient intake. Advice may be delivered through consultations, written reports, apps, or online platforms, with follow-up feedback to help participants make changes and track progress. The level of personalization and the strength of evidence behind the recommendations vary across studies.</t>
        </is>
      </c>
      <c r="D131" s="7" t="inlineStr">
        <is>
          <t>GPT-6.1-Sol (reasoning low), via codex exec 0.164.0</t>
        </is>
      </c>
    </row>
    <row r="132">
      <c r="A132" s="7" t="inlineStr">
        <is>
          <t>C6-15</t>
        </is>
      </c>
      <c r="B132" s="7" t="inlineStr">
        <is>
          <t>What is FGF21, and how is it linked to blood vessel health in dialysis patients?</t>
        </is>
      </c>
      <c r="C132" s="7" t="inlineStr">
        <is>
          <t>FGF21 (fibroblast growth factor 21) is a hormone produced mainly by the liver that helps regulate sugar and fat metabolism and the body’s response to stress. Its blood levels are often markedly elevated in dialysis patients, partly because failing kidneys clear it less effectively and metabolic stress may increase its production. In hemodialysis patients, higher FGF21 levels have been associated with poorer function of the blood vessel lining, reduced ability of arteries to widen, and greater arterial stiffness. ([Endothelial function study](https://pubmed.ncbi.nlm.nih.gov/27943169/), [arterial stiffness study](https://pmc.ncbi.nlm.nih.gov/articles/PMC8856816/)) These associations suggest that FGF21 could help indicate vascular risk, but they do not establish that it causes vessel damage; elevated levels may also reflect a protective response to existing injury.</t>
        </is>
      </c>
      <c r="D132" s="7" t="inlineStr">
        <is>
          <t>GPT-6.1-Sol (reasoning low), via codex exec 0.164.0</t>
        </is>
      </c>
    </row>
    <row r="133">
      <c r="A133" s="7" t="inlineStr">
        <is>
          <t>C6-16</t>
        </is>
      </c>
      <c r="B133" s="7" t="inlineStr">
        <is>
          <t>How have schools and families changed how they manage meals for children with special diets?</t>
        </is>
      </c>
      <c r="C133" s="7" t="inlineStr">
        <is>
          <t>Schools and families have increasingly moved from informal meal adjustments to more coordinated plans for children with food allergies, intolerances, religious restrictions, or other dietary needs. Many schools now use clearer ingredient labels, staff training, individualized meal plans, and procedures to reduce cross-contact with allergens. Families often work with school staff and healthcare professionals to share dietary requirements, arrange suitable meals, and prepare emergency plans when needed. Online menus and communication tools can make planning easier, while a wider range of alternative foods gives children more options. However, access and resources vary, and some families still rely on packed lunches to meet their children’s needs.</t>
        </is>
      </c>
      <c r="D133" s="7" t="inlineStr">
        <is>
          <t>GPT-6.1-Sol (reasoning low), via codex exec 0.164.0</t>
        </is>
      </c>
    </row>
    <row r="134">
      <c r="A134" s="7" t="inlineStr">
        <is>
          <t>C6-17</t>
        </is>
      </c>
      <c r="B134" s="7" t="inlineStr">
        <is>
          <t>Do sugary drinks increase the risk of type 2 diabetes?</t>
        </is>
      </c>
      <c r="C134" s="7" t="inlineStr">
        <is>
          <t>Yes. Regularly drinking sugar-sweetened beverages, such as soda, sweetened tea, and sports drinks, is associated with a higher risk of type 2 diabetes. These drinks can contribute to weight gain, a major risk factor, and research suggests the association also persists beyond their effects on body weight. They deliver large amounts of rapidly absorbed sugar without making you feel as full as solid foods typically do. Choosing water or unsweetened drinks more often can help lower your risk.</t>
        </is>
      </c>
      <c r="D134" s="7" t="inlineStr">
        <is>
          <t>GPT-6.1-Sol (reasoning low), via codex exec 0.164.0</t>
        </is>
      </c>
    </row>
    <row r="135">
      <c r="A135" s="7" t="inlineStr">
        <is>
          <t>C6-18</t>
        </is>
      </c>
      <c r="B135" s="7" t="inlineStr">
        <is>
          <t>Which older adults are most likely to be prescribed potentially inappropriate medications?</t>
        </is>
      </c>
      <c r="C135" s="7" t="inlineStr">
        <is>
          <t>Older adults most likely to be prescribed potentially inappropriate medications are those taking many medicines, especially people with several chronic conditions and prescriptions from multiple clinicians. Adults with frailty, dementia, or reduced kidney function are particularly vulnerable because some medications may pose greater risks for them. Residents of nursing homes and people recently discharged from the hospital may also be at higher risk, particularly when medication lists are not carefully reviewed. Some studies find higher prescribing rates among women, although patterns vary by setting and the criteria used to define inappropriate prescribing. A medication’s appropriateness ultimately depends on the person’s conditions, treatment goals, dose, and available alternatives.</t>
        </is>
      </c>
      <c r="D135" s="7" t="inlineStr">
        <is>
          <t>GPT-6.1-Sol (reasoning low), via codex exec 0.164.0</t>
        </is>
      </c>
    </row>
    <row r="136">
      <c r="A136" s="7" t="inlineStr">
        <is>
          <t>C6-19</t>
        </is>
      </c>
      <c r="B136" s="7" t="inlineStr">
        <is>
          <t>Why do some children drink more sugary drinks than others?</t>
        </is>
      </c>
      <c r="C136" s="7" t="inlineStr">
        <is>
          <t>Some children drink more sugary drinks than others because of differences in taste preferences, family habits, and what’s available at home or school. Children may be more likely to choose these drinks if their friends or family drink them, or if they see appealing advertisements. Cost, convenient access, and the availability of safe drinking water can also influence their choices. Some families may not realize how much added sugar is in drinks such as fruit drinks, sports drinks, or sweetened teas. These factors often work together, so the differences aren’t simply a matter of a child’s willpower or a parent’s choices.</t>
        </is>
      </c>
      <c r="D136" s="7" t="inlineStr">
        <is>
          <t>GPT-6.1-Sol (reasoning low), via codex exec 0.164.0</t>
        </is>
      </c>
    </row>
    <row r="137">
      <c r="A137" s="7" t="inlineStr">
        <is>
          <t>C6-20</t>
        </is>
      </c>
      <c r="B137" s="7" t="inlineStr">
        <is>
          <t>How should vitamin D levels be monitored in children receiving vitamin D injections?</t>
        </is>
      </c>
      <c r="C137" s="7" t="inlineStr">
        <is>
          <t>Children receiving vitamin D injections should have blood levels of 25-hydroxyvitamin D checked before treatment and again afterward, with timing tailored to their age, injection dose, and underlying condition. Follow-up testing is commonly performed around one month in infants and three months in older children, although high-dose injections may require earlier safety checks. Calcium, phosphate, and alkaline phosphatase should also be monitored, with parathyroid hormone rechecked if initially elevated ([Royal Children’s Hospital guidance](https://www.rch.org.au/clinicalguide/guideline_index/Vitamin_D_deficiency/)). The prescribing clinician should review results before further injections and arrange ongoing testing when risk factors persist. Parents should promptly report vomiting, constipation, excessive thirst or urination, or unusual weakness, which may indicate high calcium levels.</t>
        </is>
      </c>
      <c r="D137" s="7" t="inlineStr">
        <is>
          <t>GPT-6.1-Sol (reasoning low), via codex exec 0.164.0</t>
        </is>
      </c>
    </row>
    <row r="138">
      <c r="A138" s="7" t="inlineStr">
        <is>
          <t>C6-21</t>
        </is>
      </c>
      <c r="B138" s="7" t="inlineStr">
        <is>
          <t>Do pain medications that work for diabetic nerve pain work for other kinds of nerve pain?</t>
        </is>
      </c>
      <c r="C138" s="7" t="inlineStr">
        <is>
          <t>Yes—many medicines used for diabetic nerve pain also help with other kinds of nerve pain because they act on shared pain pathways. For example, gabapentin, pregabalin, duloxetine, and some antidepressants may help with pain from shingles or certain nerve injuries. However, effectiveness depends on the cause: these medicines may offer little benefit for sciatica, and trigeminal neuralgia usually responds better to different medicines. Treatment should be tailored to the diagnosis, other health conditions, and possible side effects, so ask a healthcare professional which option fits your situation.</t>
        </is>
      </c>
      <c r="D138" s="7" t="inlineStr">
        <is>
          <t>GPT-6.1-Sol (reasoning low), via codex exec 0.164.0</t>
        </is>
      </c>
    </row>
    <row r="139">
      <c r="A139" s="7" t="inlineStr">
        <is>
          <t>C6-22</t>
        </is>
      </c>
      <c r="B139" s="7" t="inlineStr">
        <is>
          <t>Do highly active women get enough B vitamins?</t>
        </is>
      </c>
      <c r="C139" s="7" t="inlineStr">
        <is>
          <t>Highly active women can get enough B vitamins through a varied diet, but activity level alone doesn’t tell you whether their intake is adequate. B vitamins help the body release energy from food, make red blood cells, and support nerve function. Women who eat too little to meet their training needs, restrict food groups, or follow a vegan diet without reliable vitamin B12 sources may be at greater risk of deficiency. Whole grains, legumes, leafy greens, eggs, dairy, and fortified foods provide different B vitamins. Supplements generally won’t improve performance when intake is already adequate; persistent fatigue or concerns about deficiency are reasons to consult a healthcare professional.</t>
        </is>
      </c>
      <c r="D139" s="7" t="inlineStr">
        <is>
          <t>GPT-6.1-Sol (reasoning low), via codex exec 0.164.0</t>
        </is>
      </c>
    </row>
    <row r="140">
      <c r="A140" s="7" t="inlineStr">
        <is>
          <t>C6-23</t>
        </is>
      </c>
      <c r="B140" s="7" t="inlineStr">
        <is>
          <t>Do children keep the weight off after an obesity program ends?</t>
        </is>
      </c>
      <c r="C140" s="7" t="inlineStr">
        <is>
          <t>Some children keep weight off after an obesity program ends, but results vary, and weight regain is common when ongoing support stops. For children who are still growing, success may mean maintaining their weight or gaining more slowly as they get taller, rather than losing weight. Family involvement, sustainable habits, and continued follow-up can help maintain improvements. Benefits such as better fitness, blood pressure, and quality of life may persist even if some weight returns. Childhood obesity often needs long-term support rather than a single short program.</t>
        </is>
      </c>
      <c r="D140" s="7" t="inlineStr">
        <is>
          <t>GPT-6.1-Sol (reasoning low), via codex exec 0.164.0</t>
        </is>
      </c>
    </row>
    <row r="141">
      <c r="A141" s="7" t="inlineStr">
        <is>
          <t>C6-24</t>
        </is>
      </c>
      <c r="B141" s="7" t="inlineStr">
        <is>
          <t>Do older patients usually get high-dose statins?</t>
        </is>
      </c>
      <c r="C141" s="7" t="inlineStr">
        <is>
          <t>Older patients do not automatically receive high-dose statins; the choice depends on their cardiovascular risk, overall health, and ability to tolerate treatment. Older adults who have had a heart attack, stroke, or other cardiovascular disease may benefit from a high-intensity statin if they tolerate it well. For people over 75 without known cardiovascular disease, starting a statin—and choosing its intensity—is more individualized because evidence is less certain. Clinicians consider frailty, medication interactions, side effects, life expectancy, and the patient’s preferences, and may choose a moderate-intensity dose. Someone already doing well on a high-intensity statin may continue it rather than reduce the dose solely because of age.</t>
        </is>
      </c>
      <c r="D141" s="7" t="inlineStr">
        <is>
          <t>GPT-6.1-Sol (reasoning low), via codex exec 0.164.0</t>
        </is>
      </c>
    </row>
    <row r="142">
      <c r="A142" s="7" t="inlineStr">
        <is>
          <t>C6-25</t>
        </is>
      </c>
      <c r="B142" s="7" t="inlineStr">
        <is>
          <t>What treatments are being studied for triple-negative breast cancer?</t>
        </is>
      </c>
      <c r="C142" s="7" t="inlineStr">
        <is>
          <t>Researchers are studying several treatments for triple-negative breast cancer, including immunotherapy combinations that help the immune system attack cancer cells. Another major focus is antibody–drug conjugates, which deliver chemotherapy directly to cancer cells, including new drugs and expanded uses of existing ones. Trials also explore targeted treatments such as PARP inhibitors, particularly for cancers with BRCA-related DNA-repair defects, and ways to combine these medicines with other therapies. Some treatments in these categories are already approved for certain patients, while others remain experimental. An oncologist can help identify relevant trials based on cancer stage, previous treatment, and tumor testing. [National Cancer Institute](https://www.cancer.gov/types/breast/research)</t>
        </is>
      </c>
      <c r="D142" s="7" t="inlineStr">
        <is>
          <t>GPT-6.1-Sol (reasoning low), via codex exec 0.164.0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2026-10-27T05:24:44Z</dcterms:created>
  <dcterms:modified xsi:type="dcterms:W3CDTF">2026-10-27T05:24:44Z</dcterms:modified>
</cp:coreProperties>
</file>