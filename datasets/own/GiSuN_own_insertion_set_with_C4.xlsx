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C1 Unsourced statistics" sheetId="2" state="visible" r:id="rId2"/>
    <sheet name="C2 Wrong numbers" sheetId="3" state="visible" r:id="rId3"/>
    <sheet name="C3 Loaded language" sheetId="4" state="visible" r:id="rId4"/>
    <sheet name="C4 Overgeneralization" sheetId="5" state="visible" r:id="rId5"/>
    <sheet name="C5 Vague attribution" sheetId="6" state="visible" r:id="rId6"/>
    <sheet name="C6 Causal claim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b val="1"/>
      <color rgb="00FFFFFF"/>
    </font>
  </fonts>
  <fills count="4">
    <fill>
      <patternFill/>
    </fill>
    <fill>
      <patternFill patternType="gray125"/>
    </fill>
    <fill>
      <patternFill patternType="solid">
        <fgColor rgb="001F3864"/>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1" fillId="0" borderId="1" applyAlignment="1" pivotButton="0" quotePrefix="0" xfId="0">
      <alignment vertical="top" wrapText="1"/>
    </xf>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1" t="inlineStr">
        <is>
          <t>GiSuN insertion set: our own dataset, 25 items per error type for C1, C2, C3, C5, C6, plus 16 for C4 (141 in total).</t>
        </is>
      </c>
    </row>
    <row r="2">
      <c r="A2" s="2" t="inlineStr">
        <is>
          <t>C4 has no public dataset: its 16 questions are the ones already asked of ChatGPT (answers filled in), and its sentences come from the C4 answers we wrote for the same questions (8 sweeping = met, 8 clean = not_met).</t>
        </is>
      </c>
    </row>
    <row r="3">
      <c r="A3" s="2" t="inlineStr">
        <is>
          <t>Each row: a sentence from a public dataset with its known label, and a question someone might ask ChatGPT whose answer would cover the same topic.</t>
        </is>
      </c>
    </row>
    <row r="4">
      <c r="A4" s="2" t="inlineStr">
        <is>
          <t>Expected = the dataset's own label translated to our met / not_met (13 met + 12 not_met per tab). Sources and mappings: Google Doc 'GiSuN Public Datasets: Download Sources (corrected)'.</t>
        </is>
      </c>
    </row>
    <row r="5">
      <c r="A5" s="2" t="inlineStr">
        <is>
          <t>No sentence appears twice, the two halves of a WNC or C1 pair are never both used, and none of these overlap the test sample in GiSuN_external_datasets.xlsx.</t>
        </is>
      </c>
    </row>
    <row r="6">
      <c r="A6" s="2" t="inlineStr">
        <is>
          <t>Step 1: ask ChatGPT each question in a new chat and paste its answer into the yellow column.</t>
        </is>
      </c>
    </row>
    <row r="7">
      <c r="A7" s="2" t="inlineStr">
        <is>
          <t>Step 2 (later): insert the dataset sentence into that answer and run GiSuN on it; Agent decision is filled in then, and Correct? updates by itself.</t>
        </is>
      </c>
    </row>
    <row r="8">
      <c r="A8" s="2" t="inlineStr">
        <is>
          <t>Nothing has been run yet.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40" customWidth="1" min="3" max="3"/>
    <col width="60" customWidth="1" min="4" max="4"/>
    <col width="24" customWidth="1" min="5" max="5"/>
    <col width="10" customWidth="1" min="6" max="6"/>
    <col width="16" customWidth="1" min="7" max="7"/>
    <col width="18" customWidth="1" min="8" max="8"/>
    <col width="50" customWidth="1" min="9" max="9"/>
    <col width="12" customWidth="1" min="10" max="10"/>
    <col width="9" customWidth="1" min="11" max="11"/>
    <col width="26" customWidth="1" min="12" max="12"/>
  </cols>
  <sheetData>
    <row r="1">
      <c r="A1" s="3" t="inlineStr">
        <is>
          <t>C1: Statistic with no specific source nearby?</t>
        </is>
      </c>
      <c r="B1" s="4" t="n"/>
      <c r="C1" s="4" t="n"/>
      <c r="D1" s="4" t="n"/>
      <c r="E1" s="4" t="n"/>
      <c r="F1" s="4" t="n"/>
      <c r="G1" s="4" t="n"/>
      <c r="H1" s="4" t="n"/>
      <c r="I1" s="4" t="n"/>
      <c r="J1" s="4" t="n"/>
      <c r="K1" s="4" t="n"/>
      <c r="L1" s="5" t="n"/>
    </row>
    <row r="2">
      <c r="A2" s="6" t="inlineStr">
        <is>
          <t>#</t>
        </is>
      </c>
      <c r="B2" s="6" t="inlineStr">
        <is>
          <t>ID</t>
        </is>
      </c>
      <c r="C2" s="6" t="inlineStr">
        <is>
          <t>Question to ask ChatGPT</t>
        </is>
      </c>
      <c r="D2" s="6" t="inlineStr">
        <is>
          <t>Dataset sentence (to insert)</t>
        </is>
      </c>
      <c r="E2" s="6" t="inlineStr">
        <is>
          <t>Their label</t>
        </is>
      </c>
      <c r="F2" s="6" t="inlineStr">
        <is>
          <t>Expected</t>
        </is>
      </c>
      <c r="G2" s="6" t="inlineStr">
        <is>
          <t>Dataset</t>
        </is>
      </c>
      <c r="H2" s="6" t="inlineStr">
        <is>
          <t>Source / context</t>
        </is>
      </c>
      <c r="I2" s="6" t="inlineStr">
        <is>
          <t>ChatGPT answer (paste)</t>
        </is>
      </c>
      <c r="J2" s="6" t="inlineStr">
        <is>
          <t>Agent decision</t>
        </is>
      </c>
      <c r="K2" s="6" t="inlineStr">
        <is>
          <t>Correct?</t>
        </is>
      </c>
      <c r="L2" s="6" t="inlineStr">
        <is>
          <t>Notes</t>
        </is>
      </c>
    </row>
    <row r="3">
      <c r="A3" s="7" t="n">
        <v>1</v>
      </c>
      <c r="B3" s="7" t="inlineStr">
        <is>
          <t>C1-01</t>
        </is>
      </c>
      <c r="C3" s="7" t="inlineStr">
        <is>
          <t>What is the Derker area of Oldham like, and why is it being redeveloped?</t>
        </is>
      </c>
      <c r="D3" s="7" t="inlineStr">
        <is>
          <t>Bound by Higginshaw to the north, Derker is the location of Derker railway station and, said to have terraced residencies "unsuited to modern needs", is currently being redeveloped as part of the Housing Market Renewal Initiative.</t>
        </is>
      </c>
      <c r="E3" s="7" t="inlineStr">
        <is>
          <t>statistic, citation removed</t>
        </is>
      </c>
      <c r="F3" s="7" t="inlineStr">
        <is>
          <t>met</t>
        </is>
      </c>
      <c r="G3" s="7" t="inlineStr">
        <is>
          <t>Citation Reason</t>
        </is>
      </c>
      <c r="H3" s="7" t="inlineStr">
        <is>
          <t>Wikipedia: Oldham</t>
        </is>
      </c>
      <c r="I3" s="8" t="inlineStr">
        <is>
          <t>Derker is a largely residential area northeast of Oldham town centre, with a strong industrial heritage and streets of traditional terraced housing alongside newer homes. It has an established community and convenient tram links to Oldham and Manchester, although parts of the area have experienced deprivation, poor housing conditions and an unattractive local environment. Its redevelopment began under the Housing Market Renewal programme, which aimed to address low demand for older housing and encourage investment. The work has involved clearing some older terraces, building replacement homes and improving streets and public spaces. The process has also been controversial, particularly where demolition displaced residents or removed homes that people felt could have been refurbished.</t>
        </is>
      </c>
      <c r="J3" s="7" t="n"/>
      <c r="K3" s="7">
        <f>IF(J3="","",IF((J3="met")=(F3="met"),1,0))</f>
        <v/>
      </c>
      <c r="L3" s="7" t="n"/>
    </row>
    <row r="4">
      <c r="A4" s="7" t="n">
        <v>2</v>
      </c>
      <c r="B4" s="7" t="inlineStr">
        <is>
          <t>C1-02</t>
        </is>
      </c>
      <c r="C4" s="7" t="inlineStr">
        <is>
          <t>Which airline operates the most Boeing 777s, and has any airline flown every 777 variant?</t>
        </is>
      </c>
      <c r="D4" s="7" t="inlineStr">
        <is>
          <t>Emirates is the largest airline operator as of July 2017, and is the only customer to have operated all 777 variants produced, including the -200, -200ER, -200LR, -300, -300ER, and 777F.</t>
        </is>
      </c>
      <c r="E4" s="7" t="inlineStr">
        <is>
          <t>statistic, citation removed</t>
        </is>
      </c>
      <c r="F4" s="7" t="inlineStr">
        <is>
          <t>met</t>
        </is>
      </c>
      <c r="G4" s="7" t="inlineStr">
        <is>
          <t>Citation Reason</t>
        </is>
      </c>
      <c r="H4" s="7" t="inlineStr">
        <is>
          <t>Wikipedia: Boeing_777</t>
        </is>
      </c>
      <c r="I4" s="8" t="inlineStr">
        <is>
          <t>Emirates operates the world’s largest Boeing 777 fleet, with well over 100 aircraft. It has also flown all six original production variants: the 777-200, 777-200ER, 777-200LR, 777-300, 777-300ER, and 777 Freighter. Those aircraft have served across its passenger network and Emirates SkyCargo operations, although some earlier variants have since been retired. “Every variant” here refers to the original 777 family, excluding the newer 777X models.</t>
        </is>
      </c>
      <c r="J4" s="7" t="n"/>
      <c r="K4" s="7">
        <f>IF(J4="","",IF((J4="met")=(F4="met"),1,0))</f>
        <v/>
      </c>
      <c r="L4" s="7" t="n"/>
    </row>
    <row r="5">
      <c r="A5" s="7" t="n">
        <v>3</v>
      </c>
      <c r="B5" s="7" t="inlineStr">
        <is>
          <t>C1-03</t>
        </is>
      </c>
      <c r="C5" s="7" t="inlineStr">
        <is>
          <t>What is the scoreboard like at First Tennessee Park in Nashville?</t>
        </is>
      </c>
      <c r="D5" s="7" t="inlineStr">
        <is>
          <t>The scoreboard, which has a 4,200 square foot (390 m2) high definition LED screen, is located in the middle of the concourse; visitors entering or leaving the park through the stadium's right-field entrance on Fifth Avenue pass under it.</t>
        </is>
      </c>
      <c r="E5" s="7" t="inlineStr">
        <is>
          <t>statistic, citation removed</t>
        </is>
      </c>
      <c r="F5" s="7" t="inlineStr">
        <is>
          <t>met</t>
        </is>
      </c>
      <c r="G5" s="7" t="inlineStr">
        <is>
          <t>Citation Reason</t>
        </is>
      </c>
      <c r="H5" s="7" t="inlineStr">
        <is>
          <t>Wikipedia: First_Tennessee_Park</t>
        </is>
      </c>
      <c r="I5" s="8" t="inlineStr">
        <is>
          <t>The scoreboard at First Tennessee Park in Nashville is a giant guitar, a fitting tribute to Music City. It stands beyond the right-center-field wall, with a large video screen built into the guitar’s body and scoreboard displays running along its neck. Fans can watch replays, player introductions, and game information on the display. Its colorful, distinctive design makes it one of the ballpark’s signature features.</t>
        </is>
      </c>
      <c r="J5" s="7" t="n"/>
      <c r="K5" s="7">
        <f>IF(J5="","",IF((J5="met")=(F5="met"),1,0))</f>
        <v/>
      </c>
      <c r="L5" s="7" t="n"/>
    </row>
    <row r="6">
      <c r="A6" s="7" t="n">
        <v>4</v>
      </c>
      <c r="B6" s="7" t="inlineStr">
        <is>
          <t>C1-04</t>
        </is>
      </c>
      <c r="C6" s="7" t="inlineStr">
        <is>
          <t>How did Norwich City F.C. do in the 1930s?</t>
        </is>
      </c>
      <c r="D6" s="7" t="inlineStr">
        <is>
          <t>The rest of the decade proved more successful for Norwich, with a club-record victory, 10–2, over Coventry City and promotion to the Second Division as champions in the 1933–34 season under the management of Tom Parker.</t>
        </is>
      </c>
      <c r="E6" s="7" t="inlineStr">
        <is>
          <t>statistic, citation removed</t>
        </is>
      </c>
      <c r="F6" s="7" t="inlineStr">
        <is>
          <t>met</t>
        </is>
      </c>
      <c r="G6" s="7" t="inlineStr">
        <is>
          <t>Citation Reason</t>
        </is>
      </c>
      <c r="H6" s="7" t="inlineStr">
        <is>
          <t>Wikipedia: History_of_Norwich_City_F.C.</t>
        </is>
      </c>
      <c r="I6" s="8" t="n"/>
      <c r="J6" s="7" t="n"/>
      <c r="K6" s="7">
        <f>IF(J6="","",IF((J6="met")=(F6="met"),1,0))</f>
        <v/>
      </c>
      <c r="L6" s="7" t="n"/>
    </row>
    <row r="7">
      <c r="A7" s="7" t="n">
        <v>5</v>
      </c>
      <c r="B7" s="7" t="inlineStr">
        <is>
          <t>C1-05</t>
        </is>
      </c>
      <c r="C7" s="7" t="inlineStr">
        <is>
          <t>Would double summer time in the UK reduce road deaths?</t>
        </is>
      </c>
      <c r="D7" s="7" t="inlineStr">
        <is>
          <t>Single/Double Summer Time (SDST), a variant where clocks are one hour ahead of the sun in winter and two in summer, has been projected to reduce traffic fatalities by 3% to 4% in the UK, compared to ordinary DST.</t>
        </is>
      </c>
      <c r="E7" s="7" t="inlineStr">
        <is>
          <t>statistic, citation removed</t>
        </is>
      </c>
      <c r="F7" s="7" t="inlineStr">
        <is>
          <t>met</t>
        </is>
      </c>
      <c r="G7" s="7" t="inlineStr">
        <is>
          <t>Citation Reason</t>
        </is>
      </c>
      <c r="H7" s="7" t="inlineStr">
        <is>
          <t>Wikipedia: Daylight_saving_time</t>
        </is>
      </c>
      <c r="I7" s="8" t="n"/>
      <c r="J7" s="7" t="n"/>
      <c r="K7" s="7">
        <f>IF(J7="","",IF((J7="met")=(F7="met"),1,0))</f>
        <v/>
      </c>
      <c r="L7" s="7" t="n"/>
    </row>
    <row r="8">
      <c r="A8" s="7" t="n">
        <v>6</v>
      </c>
      <c r="B8" s="7" t="inlineStr">
        <is>
          <t>C1-06</t>
        </is>
      </c>
      <c r="C8" s="7" t="inlineStr">
        <is>
          <t>Why did Turok: Dinosaur Hunter for the Nintendo 64 face sales problems at launch?</t>
        </is>
      </c>
      <c r="D8" s="7" t="inlineStr">
        <is>
          <t>Endangering Turok's sales was its high price—$79.99 in the US, £70 in the UK, and $129.95 in Australia —and Entertainment Software Rating Board's "mature" rating, which suggested lower sales as parents would not buy the game for their children.</t>
        </is>
      </c>
      <c r="E8" s="7" t="inlineStr">
        <is>
          <t>statistic, citation removed</t>
        </is>
      </c>
      <c r="F8" s="7" t="inlineStr">
        <is>
          <t>met</t>
        </is>
      </c>
      <c r="G8" s="7" t="inlineStr">
        <is>
          <t>Citation Reason</t>
        </is>
      </c>
      <c r="H8" s="7" t="inlineStr">
        <is>
          <t>Wikipedia: Turok:_Dinosaur_Hunter</t>
        </is>
      </c>
      <c r="I8" s="8" t="n"/>
      <c r="J8" s="7" t="n"/>
      <c r="K8" s="7">
        <f>IF(J8="","",IF((J8="met")=(F8="met"),1,0))</f>
        <v/>
      </c>
      <c r="L8" s="7" t="n"/>
    </row>
    <row r="9">
      <c r="A9" s="7" t="n">
        <v>7</v>
      </c>
      <c r="B9" s="7" t="inlineStr">
        <is>
          <t>C1-07</t>
        </is>
      </c>
      <c r="C9" s="7" t="inlineStr">
        <is>
          <t>How was Nelson's Pillar in Dublin paid for, and what did it cost to build?</t>
        </is>
      </c>
      <c r="D9" s="7" t="inlineStr">
        <is>
          <t>The committee continued to raise money as construction proceeded; when the project was complete in the autumn of 1809, costs totalled £6,856, but contributions had reached £7,138, providing the committee with a surplus of £282.</t>
        </is>
      </c>
      <c r="E9" s="7" t="inlineStr">
        <is>
          <t>statistic, citation removed</t>
        </is>
      </c>
      <c r="F9" s="7" t="inlineStr">
        <is>
          <t>met</t>
        </is>
      </c>
      <c r="G9" s="7" t="inlineStr">
        <is>
          <t>Citation Reason</t>
        </is>
      </c>
      <c r="H9" s="7" t="inlineStr">
        <is>
          <t>Wikipedia: Nelson's_Pillar</t>
        </is>
      </c>
      <c r="I9" s="8" t="n"/>
      <c r="J9" s="7" t="n"/>
      <c r="K9" s="7">
        <f>IF(J9="","",IF((J9="met")=(F9="met"),1,0))</f>
        <v/>
      </c>
      <c r="L9" s="7" t="n"/>
    </row>
    <row r="10">
      <c r="A10" s="7" t="n">
        <v>8</v>
      </c>
      <c r="B10" s="7" t="inlineStr">
        <is>
          <t>C1-08</t>
        </is>
      </c>
      <c r="C10" s="7" t="inlineStr">
        <is>
          <t>How popular is hare coursing in Ireland, and what is the main event?</t>
        </is>
      </c>
      <c r="D10" s="7" t="inlineStr">
        <is>
          <t>Hare coursing is popular in the Republic of Ireland, with the national meeting in Clonmel, County Tipperary, being the most important event in the coursing calendar, attracting 10,000 spectators, and claimed by its organisers to be worth up to €16 million for the local economy.</t>
        </is>
      </c>
      <c r="E10" s="7" t="inlineStr">
        <is>
          <t>statistic, citation removed</t>
        </is>
      </c>
      <c r="F10" s="7" t="inlineStr">
        <is>
          <t>met</t>
        </is>
      </c>
      <c r="G10" s="7" t="inlineStr">
        <is>
          <t>Citation Reason</t>
        </is>
      </c>
      <c r="H10" s="7" t="inlineStr">
        <is>
          <t>Wikipedia: Hare_coursing</t>
        </is>
      </c>
      <c r="I10" s="8" t="n"/>
      <c r="J10" s="7" t="n"/>
      <c r="K10" s="7">
        <f>IF(J10="","",IF((J10="met")=(F10="met"),1,0))</f>
        <v/>
      </c>
      <c r="L10" s="7" t="n"/>
    </row>
    <row r="11">
      <c r="A11" s="7" t="n">
        <v>9</v>
      </c>
      <c r="B11" s="7" t="inlineStr">
        <is>
          <t>C1-09</t>
        </is>
      </c>
      <c r="C11" s="7" t="inlineStr">
        <is>
          <t>Why is the yellow-billed nuthatch endangered on Hainan?</t>
        </is>
      </c>
      <c r="D11" s="7" t="inlineStr">
        <is>
          <t>The threat to yellow-billed is particularly acute on Hainan, where more than 70% of the woodland has been lost in the past 50 years due to shifting cultivation and the use of wood for fuel during Chinese government re-settlement programmes.</t>
        </is>
      </c>
      <c r="E11" s="7" t="inlineStr">
        <is>
          <t>statistic, citation removed</t>
        </is>
      </c>
      <c r="F11" s="7" t="inlineStr">
        <is>
          <t>met</t>
        </is>
      </c>
      <c r="G11" s="7" t="inlineStr">
        <is>
          <t>Citation Reason</t>
        </is>
      </c>
      <c r="H11" s="7" t="inlineStr">
        <is>
          <t>Wikipedia: Nuthatch</t>
        </is>
      </c>
      <c r="I11" s="8" t="n"/>
      <c r="J11" s="7" t="n"/>
      <c r="K11" s="7">
        <f>IF(J11="","",IF((J11="met")=(F11="met"),1,0))</f>
        <v/>
      </c>
      <c r="L11" s="7" t="n"/>
    </row>
    <row r="12">
      <c r="A12" s="7" t="n">
        <v>10</v>
      </c>
      <c r="B12" s="7" t="inlineStr">
        <is>
          <t>C1-10</t>
        </is>
      </c>
      <c r="C12" s="7" t="inlineStr">
        <is>
          <t>What did Australian swimmer Faith Leech achieve before the 1956 Olympics?</t>
        </is>
      </c>
      <c r="D12" s="7" t="inlineStr">
        <is>
          <t>The regular sessions paid off at the 1955 Victorian Championships; Leech won the open 110- and 220-yard freestyle in times of 1 minute 7.2 seconds and 2 minutes 39.3 seconds, respectively, setting state records in both events.</t>
        </is>
      </c>
      <c r="E12" s="7" t="inlineStr">
        <is>
          <t>statistic, citation removed</t>
        </is>
      </c>
      <c r="F12" s="7" t="inlineStr">
        <is>
          <t>met</t>
        </is>
      </c>
      <c r="G12" s="7" t="inlineStr">
        <is>
          <t>Citation Reason</t>
        </is>
      </c>
      <c r="H12" s="7" t="inlineStr">
        <is>
          <t>Wikipedia: Faith_Leech</t>
        </is>
      </c>
      <c r="I12" s="8" t="n"/>
      <c r="J12" s="7" t="n"/>
      <c r="K12" s="7">
        <f>IF(J12="","",IF((J12="met")=(F12="met"),1,0))</f>
        <v/>
      </c>
      <c r="L12" s="7" t="n"/>
    </row>
    <row r="13">
      <c r="A13" s="7" t="n">
        <v>11</v>
      </c>
      <c r="B13" s="7" t="inlineStr">
        <is>
          <t>C1-11</t>
        </is>
      </c>
      <c r="C13" s="7" t="inlineStr">
        <is>
          <t>How did WWE's December to Dismember 2006 do in attendance and pay-per-view buys?</t>
        </is>
      </c>
      <c r="D13" s="7" t="inlineStr">
        <is>
          <t>The event had an attendance of 4,800 and received about 90,000 pay-per-view buys, with 55,000 of them domestic buys—the lowest buyrate in WWE history until the introduction of the WWE Network in 2014.</t>
        </is>
      </c>
      <c r="E13" s="7" t="inlineStr">
        <is>
          <t>statistic, citation removed</t>
        </is>
      </c>
      <c r="F13" s="7" t="inlineStr">
        <is>
          <t>met</t>
        </is>
      </c>
      <c r="G13" s="7" t="inlineStr">
        <is>
          <t>Citation Reason</t>
        </is>
      </c>
      <c r="H13" s="7" t="inlineStr">
        <is>
          <t>Wikipedia: December_to_Dismember_(2006)</t>
        </is>
      </c>
      <c r="I13" s="8" t="n"/>
      <c r="J13" s="7" t="n"/>
      <c r="K13" s="7">
        <f>IF(J13="","",IF((J13="met")=(F13="met"),1,0))</f>
        <v/>
      </c>
      <c r="L13" s="7" t="n"/>
    </row>
    <row r="14">
      <c r="A14" s="7" t="n">
        <v>12</v>
      </c>
      <c r="B14" s="7" t="inlineStr">
        <is>
          <t>C1-12</t>
        </is>
      </c>
      <c r="C14" s="7" t="inlineStr">
        <is>
          <t>How was the extension of California State Route 52 to SR 67 funded?</t>
        </is>
      </c>
      <c r="D14" s="7" t="inlineStr">
        <is>
          <t>In 2001, SANDAG gave $138 million (about $184 million in 2016 dollars) to the expansion of SR 52 to SR 67, which was necessary for extending the freeway past Cuyamaca Street.</t>
        </is>
      </c>
      <c r="E14" s="7" t="inlineStr">
        <is>
          <t>statistic, citation removed</t>
        </is>
      </c>
      <c r="F14" s="7" t="inlineStr">
        <is>
          <t>met</t>
        </is>
      </c>
      <c r="G14" s="7" t="inlineStr">
        <is>
          <t>Citation Reason</t>
        </is>
      </c>
      <c r="H14" s="7" t="inlineStr">
        <is>
          <t>Wikipedia: California_State_Route_52</t>
        </is>
      </c>
      <c r="I14" s="8" t="n"/>
      <c r="J14" s="7" t="n"/>
      <c r="K14" s="7">
        <f>IF(J14="","",IF((J14="met")=(F14="met"),1,0))</f>
        <v/>
      </c>
      <c r="L14" s="7" t="n"/>
    </row>
    <row r="15">
      <c r="A15" s="7" t="n">
        <v>13</v>
      </c>
      <c r="B15" s="7" t="inlineStr">
        <is>
          <t>C1-13</t>
        </is>
      </c>
      <c r="C15" s="7" t="inlineStr">
        <is>
          <t>Did Yao Ming ever break Michael Jordan's All-Star voting record?</t>
        </is>
      </c>
      <c r="D15" s="7" t="inlineStr">
        <is>
          <t>Both McGrady and Yao were voted to start in the 2005 NBA All-Star Game, and Yao broke the record previously held by Michael Jordan for most All-Star votes, with 2,558,278 total votes.</t>
        </is>
      </c>
      <c r="E15" s="7" t="inlineStr">
        <is>
          <t>statistic, citation removed</t>
        </is>
      </c>
      <c r="F15" s="7" t="inlineStr">
        <is>
          <t>met</t>
        </is>
      </c>
      <c r="G15" s="7" t="inlineStr">
        <is>
          <t>Citation Reason</t>
        </is>
      </c>
      <c r="H15" s="7" t="inlineStr">
        <is>
          <t>Wikipedia: Yao_Ming</t>
        </is>
      </c>
      <c r="I15" s="8" t="n"/>
      <c r="J15" s="7" t="n"/>
      <c r="K15" s="7">
        <f>IF(J15="","",IF((J15="met")=(F15="met"),1,0))</f>
        <v/>
      </c>
      <c r="L15" s="7" t="n"/>
    </row>
    <row r="16">
      <c r="A16" s="7" t="n">
        <v>14</v>
      </c>
      <c r="B16" s="7" t="inlineStr">
        <is>
          <t>C1-14</t>
        </is>
      </c>
      <c r="C16" s="7" t="inlineStr">
        <is>
          <t>Which department of the European Commission has the most staff, and which nationality is most common among Commission staff?</t>
        </is>
      </c>
      <c r="D16" s="7" t="inlineStr">
        <is>
          <t>The single largest DG is the Directorate-General for Translation, with a 2309-strong staff, while the largest group by nationality is Belgian (18.7%), probably due to a majority (17,664) of staff being based in the country (Source: Civil Service: Staff figures).</t>
        </is>
      </c>
      <c r="E16" s="7" t="inlineStr">
        <is>
          <t>statistic, citation written in</t>
        </is>
      </c>
      <c r="F16" s="7" t="inlineStr">
        <is>
          <t>not_met</t>
        </is>
      </c>
      <c r="G16" s="7" t="inlineStr">
        <is>
          <t>Citation Reason</t>
        </is>
      </c>
      <c r="H16" s="7" t="inlineStr">
        <is>
          <t>Wikipedia: European_Commission</t>
        </is>
      </c>
      <c r="I16" s="8" t="n"/>
      <c r="J16" s="7" t="n"/>
      <c r="K16" s="7">
        <f>IF(J16="","",IF((J16="met")=(F16="met"),1,0))</f>
        <v/>
      </c>
      <c r="L16" s="7" t="n"/>
    </row>
    <row r="17">
      <c r="A17" s="7" t="n">
        <v>15</v>
      </c>
      <c r="B17" s="7" t="inlineStr">
        <is>
          <t>C1-15</t>
        </is>
      </c>
      <c r="C17" s="7" t="inlineStr">
        <is>
          <t>How do critics rate the 1986 film Manhunter today?</t>
        </is>
      </c>
      <c r="D17" s="7" t="inlineStr">
        <is>
          <t>Compiled mostly from reviews written decades after its original release, Manhunter has a metascore of 78 on Metacritic, based on ten reviews, and a 94% fresh rating on Rotten Tomatoes, from 33 reviews (Source: Manhunter).</t>
        </is>
      </c>
      <c r="E17" s="7" t="inlineStr">
        <is>
          <t>statistic, citation written in</t>
        </is>
      </c>
      <c r="F17" s="7" t="inlineStr">
        <is>
          <t>not_met</t>
        </is>
      </c>
      <c r="G17" s="7" t="inlineStr">
        <is>
          <t>Citation Reason</t>
        </is>
      </c>
      <c r="H17" s="7" t="inlineStr">
        <is>
          <t>Wikipedia: Manhunter_(film)</t>
        </is>
      </c>
      <c r="I17" s="8" t="n"/>
      <c r="J17" s="7" t="n"/>
      <c r="K17" s="7">
        <f>IF(J17="","",IF((J17="met")=(F17="met"),1,0))</f>
        <v/>
      </c>
      <c r="L17" s="7" t="n"/>
    </row>
    <row r="18">
      <c r="A18" s="7" t="n">
        <v>16</v>
      </c>
      <c r="B18" s="7" t="inlineStr">
        <is>
          <t>C1-16</t>
        </is>
      </c>
      <c r="C18" s="7" t="inlineStr">
        <is>
          <t>How did Orel Hershiser's ERA change during his 59-inning scoreless streak in 1988?</t>
        </is>
      </c>
      <c r="D18" s="7" t="inlineStr">
        <is>
          <t>During the streak, although forty-one of the 59 scoreless innings came on the road away from traditionally pitcher-friendly Dodger Stadium, Hershiser lowered his ERA from 2.90 to 2.26 (Source: Ranking The Ballparks: The best hitters' and pitchers' parks based on five years of data).</t>
        </is>
      </c>
      <c r="E18" s="7" t="inlineStr">
        <is>
          <t>statistic, citation written in</t>
        </is>
      </c>
      <c r="F18" s="7" t="inlineStr">
        <is>
          <t>not_met</t>
        </is>
      </c>
      <c r="G18" s="7" t="inlineStr">
        <is>
          <t>Citation Reason</t>
        </is>
      </c>
      <c r="H18" s="7" t="inlineStr">
        <is>
          <t>Wikipedia: Orel_Hershiser's_scoreless_innings_streak</t>
        </is>
      </c>
      <c r="I18" s="8" t="n"/>
      <c r="J18" s="7" t="n"/>
      <c r="K18" s="7">
        <f>IF(J18="","",IF((J18="met")=(F18="met"),1,0))</f>
        <v/>
      </c>
      <c r="L18" s="7" t="n"/>
    </row>
    <row r="19">
      <c r="A19" s="7" t="n">
        <v>17</v>
      </c>
      <c r="B19" s="7" t="inlineStr">
        <is>
          <t>C1-17</t>
        </is>
      </c>
      <c r="C19" s="7" t="inlineStr">
        <is>
          <t>How big was the old Palace of Westminster before the 1834 fire?</t>
        </is>
      </c>
      <c r="D19" s="7" t="inlineStr">
        <is>
          <t>Laid out around 11 courtyards, the building included several residences with accommodation for about 200 people, and comprised a total of 1,180 rooms, 126 staircases and 2 miles (3.2 km) of corridors (Source: Jones 1983).</t>
        </is>
      </c>
      <c r="E19" s="7" t="inlineStr">
        <is>
          <t>statistic, citation written in</t>
        </is>
      </c>
      <c r="F19" s="7" t="inlineStr">
        <is>
          <t>not_met</t>
        </is>
      </c>
      <c r="G19" s="7" t="inlineStr">
        <is>
          <t>Citation Reason</t>
        </is>
      </c>
      <c r="H19" s="7" t="inlineStr">
        <is>
          <t>Wikipedia: Burning_of_Parliament</t>
        </is>
      </c>
      <c r="I19" s="8" t="n"/>
      <c r="J19" s="7" t="n"/>
      <c r="K19" s="7">
        <f>IF(J19="","",IF((J19="met")=(F19="met"),1,0))</f>
        <v/>
      </c>
      <c r="L19" s="7" t="n"/>
    </row>
    <row r="20">
      <c r="A20" s="7" t="n">
        <v>18</v>
      </c>
      <c r="B20" s="7" t="inlineStr">
        <is>
          <t>C1-18</t>
        </is>
      </c>
      <c r="C20" s="7" t="inlineStr">
        <is>
          <t>What is the stretch of the Rogue River in Oregon before Grave Creek like for boating?</t>
        </is>
      </c>
      <c r="D20" s="7" t="inlineStr">
        <is>
          <t>This stretch of the Rogue, featuring class I and II rapids, 11 access points for boats, 4 parks and campgrounds managed by Josephine County, ends at Grave Creek, where the Wild Rogue Wilderness begins (Source: Hellgate Recreation Area).</t>
        </is>
      </c>
      <c r="E20" s="7" t="inlineStr">
        <is>
          <t>statistic, citation written in</t>
        </is>
      </c>
      <c r="F20" s="7" t="inlineStr">
        <is>
          <t>not_met</t>
        </is>
      </c>
      <c r="G20" s="7" t="inlineStr">
        <is>
          <t>Citation Reason</t>
        </is>
      </c>
      <c r="H20" s="7" t="inlineStr">
        <is>
          <t>Wikipedia: Rogue_River_(Oregon)</t>
        </is>
      </c>
      <c r="I20" s="8" t="n"/>
      <c r="J20" s="7" t="n"/>
      <c r="K20" s="7">
        <f>IF(J20="","",IF((J20="met")=(F20="met"),1,0))</f>
        <v/>
      </c>
      <c r="L20" s="7" t="n"/>
    </row>
    <row r="21">
      <c r="A21" s="7" t="n">
        <v>19</v>
      </c>
      <c r="B21" s="7" t="inlineStr">
        <is>
          <t>C1-19</t>
        </is>
      </c>
      <c r="C21" s="7" t="inlineStr">
        <is>
          <t>Was Nirvana's Nevermind expected to be a hit when it was released?</t>
        </is>
      </c>
      <c r="D21" s="7" t="inlineStr">
        <is>
          <t>Despite modest sales estimates—the band's record company, DGC Records, forecast sales of 50,000 copies —Nevermind became a huge commercial success, popularizing the Seattle grunge movement and alternative rock in general (Source: Cross).</t>
        </is>
      </c>
      <c r="E21" s="7" t="inlineStr">
        <is>
          <t>statistic, citation written in</t>
        </is>
      </c>
      <c r="F21" s="7" t="inlineStr">
        <is>
          <t>not_met</t>
        </is>
      </c>
      <c r="G21" s="7" t="inlineStr">
        <is>
          <t>Citation Reason</t>
        </is>
      </c>
      <c r="H21" s="7" t="inlineStr">
        <is>
          <t>Wikipedia: In_Utero_(album)</t>
        </is>
      </c>
      <c r="I21" s="8" t="n"/>
      <c r="J21" s="7" t="n"/>
      <c r="K21" s="7">
        <f>IF(J21="","",IF((J21="met")=(F21="met"),1,0))</f>
        <v/>
      </c>
      <c r="L21" s="7" t="n"/>
    </row>
    <row r="22">
      <c r="A22" s="7" t="n">
        <v>20</v>
      </c>
      <c r="B22" s="7" t="inlineStr">
        <is>
          <t>C1-20</t>
        </is>
      </c>
      <c r="C22" s="7" t="inlineStr">
        <is>
          <t>What reptiles live in Saguaro National Park?</t>
        </is>
      </c>
      <c r="D22" s="7" t="inlineStr">
        <is>
          <t>The park's 36 reptile species include desert tortoises, diamondback rattlesnakes (one of the more commonly seen snakes), coral snakes, Gila monsters, short-horned lizards, spiny lizards, and zebra-tailed lizards (Source: BioBlitz Count Update from the Saguaro NP BioBlitz 2011).</t>
        </is>
      </c>
      <c r="E22" s="7" t="inlineStr">
        <is>
          <t>statistic, citation written in</t>
        </is>
      </c>
      <c r="F22" s="7" t="inlineStr">
        <is>
          <t>not_met</t>
        </is>
      </c>
      <c r="G22" s="7" t="inlineStr">
        <is>
          <t>Citation Reason</t>
        </is>
      </c>
      <c r="H22" s="7" t="inlineStr">
        <is>
          <t>Wikipedia: Saguaro_National_Park</t>
        </is>
      </c>
      <c r="I22" s="8" t="n"/>
      <c r="J22" s="7" t="n"/>
      <c r="K22" s="7">
        <f>IF(J22="","",IF((J22="met")=(F22="met"),1,0))</f>
        <v/>
      </c>
      <c r="L22" s="7" t="n"/>
    </row>
    <row r="23">
      <c r="A23" s="7" t="n">
        <v>21</v>
      </c>
      <c r="B23" s="7" t="inlineStr">
        <is>
          <t>C1-21</t>
        </is>
      </c>
      <c r="C23" s="7" t="inlineStr">
        <is>
          <t>What did the Scottish National Antarctic Expedition discover about the depth of the Weddell Sea?</t>
        </is>
      </c>
      <c r="D23" s="7" t="inlineStr">
        <is>
          <t>A sounding was taken, revealing a sea-depth of 1,131 fathoms (6,786 ft; 2,068 m), compared to the 2,500 fathoms (15,000 ft; 4,600 m) which had been the general measurement up to that date (Source: Rudmose Brown).</t>
        </is>
      </c>
      <c r="E23" s="7" t="inlineStr">
        <is>
          <t>statistic, citation written in</t>
        </is>
      </c>
      <c r="F23" s="7" t="inlineStr">
        <is>
          <t>not_met</t>
        </is>
      </c>
      <c r="G23" s="7" t="inlineStr">
        <is>
          <t>Citation Reason</t>
        </is>
      </c>
      <c r="H23" s="7" t="inlineStr">
        <is>
          <t>Wikipedia: Scottish_National_Antarctic_Expedition</t>
        </is>
      </c>
      <c r="I23" s="8" t="n"/>
      <c r="J23" s="7" t="n"/>
      <c r="K23" s="7">
        <f>IF(J23="","",IF((J23="met")=(F23="met"),1,0))</f>
        <v/>
      </c>
      <c r="L23" s="7" t="n"/>
    </row>
    <row r="24">
      <c r="A24" s="7" t="n">
        <v>22</v>
      </c>
      <c r="B24" s="7" t="inlineStr">
        <is>
          <t>C1-22</t>
        </is>
      </c>
      <c r="C24" s="7" t="inlineStr">
        <is>
          <t>Do rain gauges in the Bull Run watershed underestimate how much water comes from fog drip?</t>
        </is>
      </c>
      <c r="D24" s="7" t="inlineStr">
        <is>
          <t>A study published in 1982 suggested that standard rain gauges placed in open areas might be underestimating the contribution of fog drip to heavily forested parts of the watershed by up to 30 percent (Source: doi:10.1111/j.1752-1688.1982.tb00073.x).</t>
        </is>
      </c>
      <c r="E24" s="7" t="inlineStr">
        <is>
          <t>statistic, citation written in</t>
        </is>
      </c>
      <c r="F24" s="7" t="inlineStr">
        <is>
          <t>not_met</t>
        </is>
      </c>
      <c r="G24" s="7" t="inlineStr">
        <is>
          <t>Citation Reason</t>
        </is>
      </c>
      <c r="H24" s="7" t="inlineStr">
        <is>
          <t>Wikipedia: Bull_Run_River_(Oregon)</t>
        </is>
      </c>
      <c r="I24" s="8" t="n"/>
      <c r="J24" s="7" t="n"/>
      <c r="K24" s="7">
        <f>IF(J24="","",IF((J24="met")=(F24="met"),1,0))</f>
        <v/>
      </c>
      <c r="L24" s="7" t="n"/>
    </row>
    <row r="25">
      <c r="A25" s="7" t="n">
        <v>23</v>
      </c>
      <c r="B25" s="7" t="inlineStr">
        <is>
          <t>C1-23</t>
        </is>
      </c>
      <c r="C25" s="7" t="inlineStr">
        <is>
          <t>How did Paul Collingwood get his first call-up to the England ODI team?</t>
        </is>
      </c>
      <c r="D25" s="7" t="inlineStr">
        <is>
          <t>Collingwood's form for Durham in 2001 earned him a call-up to the England One Day International (ODI) squad, selected for the NatWest Series against Pakistan and Australia that summer, becoming the 162nd to play for England in ODI cricket (Source: NatWest Series 2001 squads).</t>
        </is>
      </c>
      <c r="E25" s="7" t="inlineStr">
        <is>
          <t>statistic, citation written in</t>
        </is>
      </c>
      <c r="F25" s="7" t="inlineStr">
        <is>
          <t>not_met</t>
        </is>
      </c>
      <c r="G25" s="7" t="inlineStr">
        <is>
          <t>Citation Reason</t>
        </is>
      </c>
      <c r="H25" s="7" t="inlineStr">
        <is>
          <t>Wikipedia: Paul_Collingwood</t>
        </is>
      </c>
      <c r="I25" s="8" t="n"/>
      <c r="J25" s="7" t="n"/>
      <c r="K25" s="7">
        <f>IF(J25="","",IF((J25="met")=(F25="met"),1,0))</f>
        <v/>
      </c>
      <c r="L25" s="7" t="n"/>
    </row>
    <row r="26">
      <c r="A26" s="7" t="n">
        <v>24</v>
      </c>
      <c r="B26" s="7" t="inlineStr">
        <is>
          <t>C1-24</t>
        </is>
      </c>
      <c r="C26" s="7" t="inlineStr">
        <is>
          <t>How much did it cost to build the ship Discovery for Scott's Antarctic expedition?</t>
        </is>
      </c>
      <c r="D26" s="7" t="inlineStr">
        <is>
          <t>The construction cost was £34,050 (2009 = £2.7 million), plus £10,322 (£830,000) for the engines, and the final cost after all modifications was £51,000 (£4.1 m) (Source: Measuring Worth.).</t>
        </is>
      </c>
      <c r="E26" s="7" t="inlineStr">
        <is>
          <t>statistic, citation written in</t>
        </is>
      </c>
      <c r="F26" s="7" t="inlineStr">
        <is>
          <t>not_met</t>
        </is>
      </c>
      <c r="G26" s="7" t="inlineStr">
        <is>
          <t>Citation Reason</t>
        </is>
      </c>
      <c r="H26" s="7" t="inlineStr">
        <is>
          <t>Wikipedia: Discovery_Expedition</t>
        </is>
      </c>
      <c r="I26" s="8" t="n"/>
      <c r="J26" s="7" t="n"/>
      <c r="K26" s="7">
        <f>IF(J26="","",IF((J26="met")=(F26="met"),1,0))</f>
        <v/>
      </c>
      <c r="L26" s="7" t="n"/>
    </row>
    <row r="27">
      <c r="A27" s="7" t="n">
        <v>25</v>
      </c>
      <c r="B27" s="7" t="inlineStr">
        <is>
          <t>C1-25</t>
        </is>
      </c>
      <c r="C27" s="7" t="inlineStr">
        <is>
          <t>How common are motor problems like poor coordination or toe walking in autistic people?</t>
        </is>
      </c>
      <c r="D27" s="7" t="inlineStr">
        <is>
          <t>An estimated 60%–80% of autistic people have motor signs that include poor muscle tone, poor motor planning, and toe walking; deficits in motor coordination are pervasive across ASD and are greater in autism proper (Source: Advances in autism).</t>
        </is>
      </c>
      <c r="E27" s="7" t="inlineStr">
        <is>
          <t>statistic, citation written in</t>
        </is>
      </c>
      <c r="F27" s="7" t="inlineStr">
        <is>
          <t>not_met</t>
        </is>
      </c>
      <c r="G27" s="7" t="inlineStr">
        <is>
          <t>Citation Reason</t>
        </is>
      </c>
      <c r="H27" s="7" t="inlineStr">
        <is>
          <t>Wikipedia: Autism</t>
        </is>
      </c>
      <c r="I27" s="8" t="n"/>
      <c r="J27" s="7" t="n"/>
      <c r="K27" s="7">
        <f>IF(J27="","",IF((J27="met")=(F27="met"),1,0))</f>
        <v/>
      </c>
      <c r="L27" s="7" t="n"/>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40" customWidth="1" min="3" max="3"/>
    <col width="60" customWidth="1" min="4" max="4"/>
    <col width="24" customWidth="1" min="5" max="5"/>
    <col width="10" customWidth="1" min="6" max="6"/>
    <col width="16" customWidth="1" min="7" max="7"/>
    <col width="18" customWidth="1" min="8" max="8"/>
    <col width="50" customWidth="1" min="9" max="9"/>
    <col width="12" customWidth="1" min="10" max="10"/>
    <col width="9" customWidth="1" min="11" max="11"/>
    <col width="26" customWidth="1" min="12" max="12"/>
  </cols>
  <sheetData>
    <row r="1">
      <c r="A1" s="3" t="inlineStr">
        <is>
          <t>C2: Does a reliable source contradict the number?</t>
        </is>
      </c>
      <c r="B1" s="4" t="n"/>
      <c r="C1" s="4" t="n"/>
      <c r="D1" s="4" t="n"/>
      <c r="E1" s="4" t="n"/>
      <c r="F1" s="4" t="n"/>
      <c r="G1" s="4" t="n"/>
      <c r="H1" s="4" t="n"/>
      <c r="I1" s="4" t="n"/>
      <c r="J1" s="4" t="n"/>
      <c r="K1" s="4" t="n"/>
      <c r="L1" s="5" t="n"/>
    </row>
    <row r="2">
      <c r="A2" s="6" t="inlineStr">
        <is>
          <t>#</t>
        </is>
      </c>
      <c r="B2" s="6" t="inlineStr">
        <is>
          <t>ID</t>
        </is>
      </c>
      <c r="C2" s="6" t="inlineStr">
        <is>
          <t>Question to ask ChatGPT</t>
        </is>
      </c>
      <c r="D2" s="6" t="inlineStr">
        <is>
          <t>Dataset sentence (to insert)</t>
        </is>
      </c>
      <c r="E2" s="6" t="inlineStr">
        <is>
          <t>Their label</t>
        </is>
      </c>
      <c r="F2" s="6" t="inlineStr">
        <is>
          <t>Expected</t>
        </is>
      </c>
      <c r="G2" s="6" t="inlineStr">
        <is>
          <t>Dataset</t>
        </is>
      </c>
      <c r="H2" s="6" t="inlineStr">
        <is>
          <t>Source / context</t>
        </is>
      </c>
      <c r="I2" s="6" t="inlineStr">
        <is>
          <t>ChatGPT answer (paste)</t>
        </is>
      </c>
      <c r="J2" s="6" t="inlineStr">
        <is>
          <t>Agent decision</t>
        </is>
      </c>
      <c r="K2" s="6" t="inlineStr">
        <is>
          <t>Correct?</t>
        </is>
      </c>
      <c r="L2" s="6" t="inlineStr">
        <is>
          <t>Notes</t>
        </is>
      </c>
    </row>
    <row r="3">
      <c r="A3" s="7" t="n">
        <v>1</v>
      </c>
      <c r="B3" s="7" t="inlineStr">
        <is>
          <t>C2-01</t>
        </is>
      </c>
      <c r="C3" s="7" t="inlineStr">
        <is>
          <t>Did Raffy Tulfo abolish the K to 12 school system in the Philippines?</t>
        </is>
      </c>
      <c r="D3" s="7" t="inlineStr">
        <is>
          <t>Raffy Tulfo has taken action against the K to 12 system and abolished it</t>
        </is>
      </c>
      <c r="E3" s="7" t="inlineStr">
        <is>
          <t>False (False.)</t>
        </is>
      </c>
      <c r="F3" s="7" t="inlineStr">
        <is>
          <t>met</t>
        </is>
      </c>
      <c r="G3" s="7" t="inlineStr">
        <is>
          <t>QuanTemp</t>
        </is>
      </c>
      <c r="H3" s="7" t="inlineStr">
        <is>
          <t>https://verafiles.org/articles/vera-files-fact-check-posts-falsely-claim-tulfo-abolished-k-to-12-program</t>
        </is>
      </c>
      <c r="I3" s="8" t="n"/>
      <c r="J3" s="7" t="n"/>
      <c r="K3" s="7">
        <f>IF(J3="","",IF((J3="met")=(F3="met"),1,0))</f>
        <v/>
      </c>
      <c r="L3" s="7" t="n"/>
    </row>
    <row r="4">
      <c r="A4" s="7" t="n">
        <v>2</v>
      </c>
      <c r="B4" s="7" t="inlineStr">
        <is>
          <t>C2-02</t>
        </is>
      </c>
      <c r="C4" s="7" t="inlineStr">
        <is>
          <t>How many jobs did the working tax cut create?</t>
        </is>
      </c>
      <c r="D4" s="7" t="inlineStr">
        <is>
          <t>The working tax cut created over 40,000 new jobs in just the last four years.</t>
        </is>
      </c>
      <c r="E4" s="7" t="inlineStr">
        <is>
          <t>False (pants-fire)</t>
        </is>
      </c>
      <c r="F4" s="7" t="inlineStr">
        <is>
          <t>met</t>
        </is>
      </c>
      <c r="G4" s="7" t="inlineStr">
        <is>
          <t>QuanTemp</t>
        </is>
      </c>
      <c r="H4" s="7" t="inlineStr">
        <is>
          <t>https://www.politifact.com/factchecks/2013/apr/19/associated-industries-florida/associated-industries-florida-says-insurance-tax-c/</t>
        </is>
      </c>
      <c r="I4" s="8" t="n"/>
      <c r="J4" s="7" t="n"/>
      <c r="K4" s="7">
        <f>IF(J4="","",IF((J4="met")=(F4="met"),1,0))</f>
        <v/>
      </c>
      <c r="L4" s="7" t="n"/>
    </row>
    <row r="5">
      <c r="A5" s="7" t="n">
        <v>3</v>
      </c>
      <c r="B5" s="7" t="inlineStr">
        <is>
          <t>C2-03</t>
        </is>
      </c>
      <c r="C5" s="7" t="inlineStr">
        <is>
          <t>Was Michigan Governor Gretchen Whitmer arrested for treason in 2023?</t>
        </is>
      </c>
      <c r="D5" s="7" t="inlineStr">
        <is>
          <t>In May 2023, Michigan Gov. Gretchen Whitmer was arrested and charged with treason.</t>
        </is>
      </c>
      <c r="E5" s="7" t="inlineStr">
        <is>
          <t>False (Labeled Satire)</t>
        </is>
      </c>
      <c r="F5" s="7" t="inlineStr">
        <is>
          <t>met</t>
        </is>
      </c>
      <c r="G5" s="7" t="inlineStr">
        <is>
          <t>QuanTemp</t>
        </is>
      </c>
      <c r="H5" s="7" t="inlineStr">
        <is>
          <t>https://www.snopes.com/fact-check/gretchen-whitmer-arrested-for-treason/</t>
        </is>
      </c>
      <c r="I5" s="8" t="n"/>
      <c r="J5" s="7" t="n"/>
      <c r="K5" s="7">
        <f>IF(J5="","",IF((J5="met")=(F5="met"),1,0))</f>
        <v/>
      </c>
      <c r="L5" s="7" t="n"/>
    </row>
    <row r="6">
      <c r="A6" s="7" t="n">
        <v>4</v>
      </c>
      <c r="B6" s="7" t="inlineStr">
        <is>
          <t>C2-04</t>
        </is>
      </c>
      <c r="C6" s="7" t="inlineStr">
        <is>
          <t>Did Hawaii buy suicide pods after legalizing physician-assisted death in 2019?</t>
        </is>
      </c>
      <c r="D6" s="7" t="inlineStr">
        <is>
          <t>Following the Jan. 1, 2019, legalization of physician-assisted death in Hawaii, state leaders bought 30 “passing assistance pods.</t>
        </is>
      </c>
      <c r="E6" s="7" t="inlineStr">
        <is>
          <t>False (labeled satire)</t>
        </is>
      </c>
      <c r="F6" s="7" t="inlineStr">
        <is>
          <t>met</t>
        </is>
      </c>
      <c r="G6" s="7" t="inlineStr">
        <is>
          <t>QuanTemp</t>
        </is>
      </c>
      <c r="H6" s="7" t="inlineStr">
        <is>
          <t>https://www.snopes.com/fact-check/hawaii-death-pods/</t>
        </is>
      </c>
      <c r="I6" s="8" t="n"/>
      <c r="J6" s="7" t="n"/>
      <c r="K6" s="7">
        <f>IF(J6="","",IF((J6="met")=(F6="met"),1,0))</f>
        <v/>
      </c>
      <c r="L6" s="7" t="n"/>
    </row>
    <row r="7">
      <c r="A7" s="7" t="n">
        <v>5</v>
      </c>
      <c r="B7" s="7" t="inlineStr">
        <is>
          <t>C2-05</t>
        </is>
      </c>
      <c r="C7" s="7" t="inlineStr">
        <is>
          <t>Did Joe Biden say Democrats would cheat in the 2022 elections?</t>
        </is>
      </c>
      <c r="D7" s="7" t="inlineStr">
        <is>
          <t>Joe Biden said Democrats would cheat in 2022 by dumping ballots</t>
        </is>
      </c>
      <c r="E7" s="7" t="inlineStr">
        <is>
          <t>False (False)</t>
        </is>
      </c>
      <c r="F7" s="7" t="inlineStr">
        <is>
          <t>met</t>
        </is>
      </c>
      <c r="G7" s="7" t="inlineStr">
        <is>
          <t>QuanTemp</t>
        </is>
      </c>
      <c r="H7" s="7" t="inlineStr">
        <is>
          <t>https://factcheck.afp.com/doc.afp.com.32N22RR-1</t>
        </is>
      </c>
      <c r="I7" s="8" t="n"/>
      <c r="J7" s="7" t="n"/>
      <c r="K7" s="7">
        <f>IF(J7="","",IF((J7="met")=(F7="met"),1,0))</f>
        <v/>
      </c>
      <c r="L7" s="7" t="n"/>
    </row>
    <row r="8">
      <c r="A8" s="7" t="n">
        <v>6</v>
      </c>
      <c r="B8" s="7" t="inlineStr">
        <is>
          <t>C2-06</t>
        </is>
      </c>
      <c r="C8" s="7" t="inlineStr">
        <is>
          <t>What did the government say in 2010 about how many small businesses would lose their health coverage under the Affordable Care Act?</t>
        </is>
      </c>
      <c r="D8" s="7" t="inlineStr">
        <is>
          <t>In July 2010 the government said small businesses -- 60 percent -- will lose their health care, 45 percent of big business and a large percentage of individual health.</t>
        </is>
      </c>
      <c r="E8" s="7" t="inlineStr">
        <is>
          <t>False (false)</t>
        </is>
      </c>
      <c r="F8" s="7" t="inlineStr">
        <is>
          <t>met</t>
        </is>
      </c>
      <c r="G8" s="7" t="inlineStr">
        <is>
          <t>QuanTemp</t>
        </is>
      </c>
      <c r="H8" s="7" t="inlineStr">
        <is>
          <t>https://www.politifact.com/factchecks/2013/nov/13/sean-hannity/hannity-says-government-predicted-massive-loss-hea/</t>
        </is>
      </c>
      <c r="I8" s="8" t="n"/>
      <c r="J8" s="7" t="n"/>
      <c r="K8" s="7">
        <f>IF(J8="","",IF((J8="met")=(F8="met"),1,0))</f>
        <v/>
      </c>
      <c r="L8" s="7" t="n"/>
    </row>
    <row r="9">
      <c r="A9" s="7" t="n">
        <v>7</v>
      </c>
      <c r="B9" s="7" t="inlineStr">
        <is>
          <t>C2-07</t>
        </is>
      </c>
      <c r="C9" s="7" t="inlineStr">
        <is>
          <t>Did Malia Obama say white people would be blended out of the population?</t>
        </is>
      </c>
      <c r="D9" s="7" t="inlineStr">
        <is>
          <t>Former first daughter Malia Obama said white people will be 'blended out' of the population by the time she turns 30.</t>
        </is>
      </c>
      <c r="E9" s="7" t="inlineStr">
        <is>
          <t>False (False)</t>
        </is>
      </c>
      <c r="F9" s="7" t="inlineStr">
        <is>
          <t>met</t>
        </is>
      </c>
      <c r="G9" s="7" t="inlineStr">
        <is>
          <t>QuanTemp</t>
        </is>
      </c>
      <c r="H9" s="7" t="inlineStr">
        <is>
          <t>https://www.snopes.com/fact-check/malia-obama-white-people-blended-out/</t>
        </is>
      </c>
      <c r="I9" s="8" t="n"/>
      <c r="J9" s="7" t="n"/>
      <c r="K9" s="7">
        <f>IF(J9="","",IF((J9="met")=(F9="met"),1,0))</f>
        <v/>
      </c>
      <c r="L9" s="7" t="n"/>
    </row>
    <row r="10">
      <c r="A10" s="7" t="n">
        <v>8</v>
      </c>
      <c r="B10" s="7" t="inlineStr">
        <is>
          <t>C2-08</t>
        </is>
      </c>
      <c r="C10" s="7" t="inlineStr">
        <is>
          <t>Did Somali teenagers attack people with hammers at a Minneapolis train station in 2019?</t>
        </is>
      </c>
      <c r="D10" s="7" t="inlineStr">
        <is>
          <t>A group of Somali teenagers used hammers to physically attack and injure several passersby at a train station in Minneapolis in May 2019.</t>
        </is>
      </c>
      <c r="E10" s="7" t="inlineStr">
        <is>
          <t>False (Mostly False)</t>
        </is>
      </c>
      <c r="F10" s="7" t="inlineStr">
        <is>
          <t>met</t>
        </is>
      </c>
      <c r="G10" s="7" t="inlineStr">
        <is>
          <t>QuanTemp</t>
        </is>
      </c>
      <c r="H10" s="7" t="inlineStr">
        <is>
          <t>https://www.snopes.com/fact-check/somali-teens-hammers/</t>
        </is>
      </c>
      <c r="I10" s="8" t="n"/>
      <c r="J10" s="7" t="n"/>
      <c r="K10" s="7">
        <f>IF(J10="","",IF((J10="met")=(F10="met"),1,0))</f>
        <v/>
      </c>
      <c r="L10" s="7" t="n"/>
    </row>
    <row r="11">
      <c r="A11" s="7" t="n">
        <v>9</v>
      </c>
      <c r="B11" s="7" t="inlineStr">
        <is>
          <t>C2-09</t>
        </is>
      </c>
      <c r="C11" s="7" t="inlineStr">
        <is>
          <t>Did Edward Snowden say Russia rigged the 2016 election for Trump?</t>
        </is>
      </c>
      <c r="D11" s="7" t="inlineStr">
        <is>
          <t>Edward Snowden claimed that Russia fixed the 2016 general election so Donald Trump would win.</t>
        </is>
      </c>
      <c r="E11" s="7" t="inlineStr">
        <is>
          <t>False (False)</t>
        </is>
      </c>
      <c r="F11" s="7" t="inlineStr">
        <is>
          <t>met</t>
        </is>
      </c>
      <c r="G11" s="7" t="inlineStr">
        <is>
          <t>QuanTemp</t>
        </is>
      </c>
      <c r="H11" s="7" t="inlineStr">
        <is>
          <t>https://www.snopes.com/fact-check/edward-snowden-said-russia-successfully-rigged-u-s-elections-in-favor-of-trump/</t>
        </is>
      </c>
      <c r="I11" s="8" t="n"/>
      <c r="J11" s="7" t="n"/>
      <c r="K11" s="7">
        <f>IF(J11="","",IF((J11="met")=(F11="met"),1,0))</f>
        <v/>
      </c>
      <c r="L11" s="7" t="n"/>
    </row>
    <row r="12">
      <c r="A12" s="7" t="n">
        <v>10</v>
      </c>
      <c r="B12" s="7" t="inlineStr">
        <is>
          <t>C2-10</t>
        </is>
      </c>
      <c r="C12" s="7" t="inlineStr">
        <is>
          <t>Did Mamata Banerjee order RSS-run schools in West Bengal to close after winning the 2021 election?</t>
        </is>
      </c>
      <c r="D12" s="7" t="inlineStr">
        <is>
          <t>After the recent election victory, Mamata Banerjee issued orders to shut down 125 RSS-affiliated schools in West Bengal</t>
        </is>
      </c>
      <c r="E12" s="7" t="inlineStr">
        <is>
          <t>False (MISLEADING)</t>
        </is>
      </c>
      <c r="F12" s="7" t="inlineStr">
        <is>
          <t>met</t>
        </is>
      </c>
      <c r="G12" s="7" t="inlineStr">
        <is>
          <t>QuanTemp</t>
        </is>
      </c>
      <c r="H12" s="7" t="inlineStr">
        <is>
          <t>https://factly.in/old-news-of-west-bengal-government-banning-125-rss-affiliated-schools-for-not-having-noc-certificate-revived-again/</t>
        </is>
      </c>
      <c r="I12" s="8" t="n"/>
      <c r="J12" s="7" t="n"/>
      <c r="K12" s="7">
        <f>IF(J12="","",IF((J12="met")=(F12="met"),1,0))</f>
        <v/>
      </c>
      <c r="L12" s="7" t="n"/>
    </row>
    <row r="13">
      <c r="A13" s="7" t="n">
        <v>11</v>
      </c>
      <c r="B13" s="7" t="inlineStr">
        <is>
          <t>C2-11</t>
        </is>
      </c>
      <c r="C13" s="7" t="inlineStr">
        <is>
          <t>Did Rishi Sunak donate money to build the Ram Temple in Ayodhya?</t>
        </is>
      </c>
      <c r="D13" s="7" t="inlineStr">
        <is>
          <t>UK PM Rishi Sunak made a donation of Rs 1 crore to build Ram Temple</t>
        </is>
      </c>
      <c r="E13" s="7" t="inlineStr">
        <is>
          <t>False (False)</t>
        </is>
      </c>
      <c r="F13" s="7" t="inlineStr">
        <is>
          <t>met</t>
        </is>
      </c>
      <c r="G13" s="7" t="inlineStr">
        <is>
          <t>QuanTemp</t>
        </is>
      </c>
      <c r="H13" s="7" t="inlineStr">
        <is>
          <t>https://newsmobile.in/articles/2023/04/18/fact-check-did-rishi-sunak-donate-rs-1-crore-for-the-construction-of-ram-temple-heres-the-truth/</t>
        </is>
      </c>
      <c r="I13" s="8" t="n"/>
      <c r="J13" s="7" t="n"/>
      <c r="K13" s="7">
        <f>IF(J13="","",IF((J13="met")=(F13="met"),1,0))</f>
        <v/>
      </c>
      <c r="L13" s="7" t="n"/>
    </row>
    <row r="14">
      <c r="A14" s="7" t="n">
        <v>12</v>
      </c>
      <c r="B14" s="7" t="inlineStr">
        <is>
          <t>C2-12</t>
        </is>
      </c>
      <c r="C14" s="7" t="inlineStr">
        <is>
          <t>What did Donald Trump say on his birthday on June 14, 2022?</t>
        </is>
      </c>
      <c r="D14" s="7" t="inlineStr">
        <is>
          <t>On June 14, 2022, Donald Trump marked his birthday with a statement in which he attacked Liz Cheney, made a lewd remark about his wife Melania, and asked for donations.</t>
        </is>
      </c>
      <c r="E14" s="7" t="inlineStr">
        <is>
          <t>False (originated as satire)</t>
        </is>
      </c>
      <c r="F14" s="7" t="inlineStr">
        <is>
          <t>met</t>
        </is>
      </c>
      <c r="G14" s="7" t="inlineStr">
        <is>
          <t>QuanTemp</t>
        </is>
      </c>
      <c r="H14" s="7" t="inlineStr">
        <is>
          <t>https://www.snopes.com/fact-check/trump-birthday-donations-cheney-statement/</t>
        </is>
      </c>
      <c r="I14" s="8" t="n"/>
      <c r="J14" s="7" t="n"/>
      <c r="K14" s="7">
        <f>IF(J14="","",IF((J14="met")=(F14="met"),1,0))</f>
        <v/>
      </c>
      <c r="L14" s="7" t="n"/>
    </row>
    <row r="15">
      <c r="A15" s="7" t="n">
        <v>13</v>
      </c>
      <c r="B15" s="7" t="inlineStr">
        <is>
          <t>C2-13</t>
        </is>
      </c>
      <c r="C15" s="7" t="inlineStr">
        <is>
          <t>Did Vijay Mallya donate money to the BJP before leaving India?</t>
        </is>
      </c>
      <c r="D15" s="7" t="inlineStr">
        <is>
          <t>Vijay Mallya deposited a cheque of Rs 35 crore in BJP's fund before he fled to London.</t>
        </is>
      </c>
      <c r="E15" s="7" t="inlineStr">
        <is>
          <t>False (False)</t>
        </is>
      </c>
      <c r="F15" s="7" t="inlineStr">
        <is>
          <t>met</t>
        </is>
      </c>
      <c r="G15" s="7" t="inlineStr">
        <is>
          <t>QuanTemp</t>
        </is>
      </c>
      <c r="H15" s="7" t="inlineStr">
        <is>
          <t>https://www.boomlive.in/fact-check/politics/fact-check-vijay-mallya-cheque-crores-donation-bharatiya-janata-party-14731</t>
        </is>
      </c>
      <c r="I15" s="8" t="n"/>
      <c r="J15" s="7" t="n"/>
      <c r="K15" s="7">
        <f>IF(J15="","",IF((J15="met")=(F15="met"),1,0))</f>
        <v/>
      </c>
      <c r="L15" s="7" t="n"/>
    </row>
    <row r="16">
      <c r="A16" s="7" t="n">
        <v>14</v>
      </c>
      <c r="B16" s="7" t="inlineStr">
        <is>
          <t>C2-14</t>
        </is>
      </c>
      <c r="C16" s="7" t="inlineStr">
        <is>
          <t>How did Lyft respond to Texas's 2021 abortion law?</t>
        </is>
      </c>
      <c r="D16" s="7" t="inlineStr">
        <is>
          <t>In September 2021, the ride-sharing company Lyft expressed opposition to new abortion restrictions in Texas and announced a legal defense fund for affected drivers.</t>
        </is>
      </c>
      <c r="E16" s="7" t="inlineStr">
        <is>
          <t>True (True)</t>
        </is>
      </c>
      <c r="F16" s="7" t="inlineStr">
        <is>
          <t>not_met</t>
        </is>
      </c>
      <c r="G16" s="7" t="inlineStr">
        <is>
          <t>QuanTemp</t>
        </is>
      </c>
      <c r="H16" s="7" t="inlineStr">
        <is>
          <t>https://www.snopes.com/fact-check/lyft-legal-aid-texas-abortion/</t>
        </is>
      </c>
      <c r="I16" s="8" t="n"/>
      <c r="J16" s="7" t="n"/>
      <c r="K16" s="7">
        <f>IF(J16="","",IF((J16="met")=(F16="met"),1,0))</f>
        <v/>
      </c>
      <c r="L16" s="7" t="n"/>
    </row>
    <row r="17">
      <c r="A17" s="7" t="n">
        <v>15</v>
      </c>
      <c r="B17" s="7" t="inlineStr">
        <is>
          <t>C2-15</t>
        </is>
      </c>
      <c r="C17" s="7" t="inlineStr">
        <is>
          <t>What share of new jobs in Austin pay a living wage?</t>
        </is>
      </c>
      <c r="D17" s="7" t="inlineStr">
        <is>
          <t>57% of the jobs created in Austin from 2009 to 2013 do not pay families a living wage.</t>
        </is>
      </c>
      <c r="E17" s="7" t="inlineStr">
        <is>
          <t>True (mostly-true)</t>
        </is>
      </c>
      <c r="F17" s="7" t="inlineStr">
        <is>
          <t>not_met</t>
        </is>
      </c>
      <c r="G17" s="7" t="inlineStr">
        <is>
          <t>QuanTemp</t>
        </is>
      </c>
      <c r="H17" s="7" t="inlineStr">
        <is>
          <t>https://www.politifact.com/factchecks/2014/sep/17/steve-adler/steve-adler-says-57-percent-jobs-added-2009-2013-d/</t>
        </is>
      </c>
      <c r="I17" s="8" t="n"/>
      <c r="J17" s="7" t="n"/>
      <c r="K17" s="7">
        <f>IF(J17="","",IF((J17="met")=(F17="met"),1,0))</f>
        <v/>
      </c>
      <c r="L17" s="7" t="n"/>
    </row>
    <row r="18">
      <c r="A18" s="7" t="n">
        <v>16</v>
      </c>
      <c r="B18" s="7" t="inlineStr">
        <is>
          <t>C2-16</t>
        </is>
      </c>
      <c r="C18" s="7" t="inlineStr">
        <is>
          <t>Did most people in Ireland want a referendum on same-sex marriage?</t>
        </is>
      </c>
      <c r="D18" s="7" t="inlineStr">
        <is>
          <t>Over 80 percent of the people want the shot to vote on whether to approve same-sex marriage, according to polls.</t>
        </is>
      </c>
      <c r="E18" s="7" t="inlineStr">
        <is>
          <t>True (mostly-true)</t>
        </is>
      </c>
      <c r="F18" s="7" t="inlineStr">
        <is>
          <t>not_met</t>
        </is>
      </c>
      <c r="G18" s="7" t="inlineStr">
        <is>
          <t>QuanTemp</t>
        </is>
      </c>
      <c r="H18" s="7" t="inlineStr">
        <is>
          <t>https://www.politifact.com/factchecks/2010/dec/26/vincent-buddy-cianci/cianci-says-polls-support-idea-more-80-percent-rho/</t>
        </is>
      </c>
      <c r="I18" s="8" t="n"/>
      <c r="J18" s="7" t="n"/>
      <c r="K18" s="7">
        <f>IF(J18="","",IF((J18="met")=(F18="met"),1,0))</f>
        <v/>
      </c>
      <c r="L18" s="7" t="n"/>
    </row>
    <row r="19">
      <c r="A19" s="7" t="n">
        <v>17</v>
      </c>
      <c r="B19" s="7" t="inlineStr">
        <is>
          <t>C2-17</t>
        </is>
      </c>
      <c r="C19" s="7" t="inlineStr">
        <is>
          <t>How many people born in Northern Ireland hold an Irish passport?</t>
        </is>
      </c>
      <c r="D19" s="7" t="inlineStr">
        <is>
          <t>More than 700,000 people born in Northern Ireland have an Irish passport.</t>
        </is>
      </c>
      <c r="E19" s="7" t="inlineStr">
        <is>
          <t>True (ACCURATE)</t>
        </is>
      </c>
      <c r="F19" s="7" t="inlineStr">
        <is>
          <t>not_met</t>
        </is>
      </c>
      <c r="G19" s="7" t="inlineStr">
        <is>
          <t>QuanTemp</t>
        </is>
      </c>
      <c r="H19" s="7" t="inlineStr">
        <is>
          <t>https://factcheckni.org/topics/europe/do-more-than-700000-born-in-northern-ireland-have-an-irish-passport/</t>
        </is>
      </c>
      <c r="I19" s="8" t="n"/>
      <c r="J19" s="7" t="n"/>
      <c r="K19" s="7">
        <f>IF(J19="","",IF((J19="met")=(F19="met"),1,0))</f>
        <v/>
      </c>
      <c r="L19" s="7" t="n"/>
    </row>
    <row r="20">
      <c r="A20" s="7" t="n">
        <v>18</v>
      </c>
      <c r="B20" s="7" t="inlineStr">
        <is>
          <t>C2-18</t>
        </is>
      </c>
      <c r="C20" s="7" t="inlineStr">
        <is>
          <t>What happened with the two Laura Buxtons and the balloon?</t>
        </is>
      </c>
      <c r="D20" s="7" t="inlineStr">
        <is>
          <t>A girl named Laura Buxton released a balloon that ended up in the hands of another girl named Laura Buxton who lived 140 miles away.</t>
        </is>
      </c>
      <c r="E20" s="7" t="inlineStr">
        <is>
          <t>True (Mostly True)</t>
        </is>
      </c>
      <c r="F20" s="7" t="inlineStr">
        <is>
          <t>not_met</t>
        </is>
      </c>
      <c r="G20" s="7" t="inlineStr">
        <is>
          <t>QuanTemp</t>
        </is>
      </c>
      <c r="H20" s="7" t="inlineStr">
        <is>
          <t>https://www.snopes.com/fact-check/whether-balloon/</t>
        </is>
      </c>
      <c r="I20" s="8" t="n"/>
      <c r="J20" s="7" t="n"/>
      <c r="K20" s="7">
        <f>IF(J20="","",IF((J20="met")=(F20="met"),1,0))</f>
        <v/>
      </c>
      <c r="L20" s="7" t="n"/>
    </row>
    <row r="21">
      <c r="A21" s="7" t="n">
        <v>19</v>
      </c>
      <c r="B21" s="7" t="inlineStr">
        <is>
          <t>C2-19</t>
        </is>
      </c>
      <c r="C21" s="7" t="inlineStr">
        <is>
          <t>Which countries were first to ratify the African Continental Free Trade Area agreement?</t>
        </is>
      </c>
      <c r="D21" s="7" t="inlineStr">
        <is>
          <t>In March 2018, Kenya and Ghana were the first countries to not only sign but also ratify the landmark agreement creating the African Continental Free Trade Area.</t>
        </is>
      </c>
      <c r="E21" s="7" t="inlineStr">
        <is>
          <t>True (correct)</t>
        </is>
      </c>
      <c r="F21" s="7" t="inlineStr">
        <is>
          <t>not_met</t>
        </is>
      </c>
      <c r="G21" s="7" t="inlineStr">
        <is>
          <t>QuanTemp</t>
        </is>
      </c>
      <c r="H21" s="7" t="inlineStr">
        <is>
          <t>https://africacheck.org/fact-checks/reports/fact-checked-kenya-presidents-2020-state-nation-address</t>
        </is>
      </c>
      <c r="I21" s="8" t="n"/>
      <c r="J21" s="7" t="n"/>
      <c r="K21" s="7">
        <f>IF(J21="","",IF((J21="met")=(F21="met"),1,0))</f>
        <v/>
      </c>
      <c r="L21" s="7" t="n"/>
    </row>
    <row r="22">
      <c r="A22" s="7" t="n">
        <v>20</v>
      </c>
      <c r="B22" s="7" t="inlineStr">
        <is>
          <t>C2-20</t>
        </is>
      </c>
      <c r="C22" s="7" t="inlineStr">
        <is>
          <t>Does Florida have the most staged car accidents in the US?</t>
        </is>
      </c>
      <c r="D22" s="7" t="inlineStr">
        <is>
          <t>Of the topfive cities for staged automobile accidents, three are in Florida. We rank No. 1 in the country in staged auto accidents.</t>
        </is>
      </c>
      <c r="E22" s="7" t="inlineStr">
        <is>
          <t>True (mostly-true)</t>
        </is>
      </c>
      <c r="F22" s="7" t="inlineStr">
        <is>
          <t>not_met</t>
        </is>
      </c>
      <c r="G22" s="7" t="inlineStr">
        <is>
          <t>QuanTemp</t>
        </is>
      </c>
      <c r="H22" s="7" t="inlineStr">
        <is>
          <t>https://www.politifact.com/factchecks/2011/jan/27/jeff-atwater/Florida-tops-staged-auto-accidents-Jeff-Atwater/</t>
        </is>
      </c>
      <c r="I22" s="8" t="n"/>
      <c r="J22" s="7" t="n"/>
      <c r="K22" s="7">
        <f>IF(J22="","",IF((J22="met")=(F22="met"),1,0))</f>
        <v/>
      </c>
      <c r="L22" s="7" t="n"/>
    </row>
    <row r="23">
      <c r="A23" s="7" t="n">
        <v>21</v>
      </c>
      <c r="B23" s="7" t="inlineStr">
        <is>
          <t>C2-21</t>
        </is>
      </c>
      <c r="C23" s="7" t="inlineStr">
        <is>
          <t>How many opioid pills were shipped to West Virginia during the opioid crisis?</t>
        </is>
      </c>
      <c r="D23" s="7" t="inlineStr">
        <is>
          <t>Nearly 800 million opioid pills were shipped to WV, amounting to 433 pills for every man, woman, and child in the state.</t>
        </is>
      </c>
      <c r="E23" s="7" t="inlineStr">
        <is>
          <t>True (mostly-true)</t>
        </is>
      </c>
      <c r="F23" s="7" t="inlineStr">
        <is>
          <t>not_met</t>
        </is>
      </c>
      <c r="G23" s="7" t="inlineStr">
        <is>
          <t>QuanTemp</t>
        </is>
      </c>
      <c r="H23" s="7" t="inlineStr">
        <is>
          <t>https://www.politifact.com/factchecks/2020/oct/15/david-mckinley/how-many-opioid-pills-were-shipped-west-virginia/</t>
        </is>
      </c>
      <c r="I23" s="8" t="n"/>
      <c r="J23" s="7" t="n"/>
      <c r="K23" s="7">
        <f>IF(J23="","",IF((J23="met")=(F23="met"),1,0))</f>
        <v/>
      </c>
      <c r="L23" s="7" t="n"/>
    </row>
    <row r="24">
      <c r="A24" s="7" t="n">
        <v>22</v>
      </c>
      <c r="B24" s="7" t="inlineStr">
        <is>
          <t>C2-22</t>
        </is>
      </c>
      <c r="C24" s="7" t="inlineStr">
        <is>
          <t>Was Sarah Huckabee Sanders on Gallup's list of most admired women in 2018?</t>
        </is>
      </c>
      <c r="D24" s="7" t="inlineStr">
        <is>
          <t>In 2018, White House Press Secretary Sarah Huckabee Sanders was listed as one of the 10 most admired women in the United States.</t>
        </is>
      </c>
      <c r="E24" s="7" t="inlineStr">
        <is>
          <t>True (True)</t>
        </is>
      </c>
      <c r="F24" s="7" t="inlineStr">
        <is>
          <t>not_met</t>
        </is>
      </c>
      <c r="G24" s="7" t="inlineStr">
        <is>
          <t>QuanTemp</t>
        </is>
      </c>
      <c r="H24" s="7" t="inlineStr">
        <is>
          <t>https://www.snopes.com/fact-check/sarah-huckabee-sanders-voted-among-admired-women-united-states/</t>
        </is>
      </c>
      <c r="I24" s="8" t="n"/>
      <c r="J24" s="7" t="n"/>
      <c r="K24" s="7">
        <f>IF(J24="","",IF((J24="met")=(F24="met"),1,0))</f>
        <v/>
      </c>
      <c r="L24" s="7" t="n"/>
    </row>
    <row r="25">
      <c r="A25" s="7" t="n">
        <v>23</v>
      </c>
      <c r="B25" s="7" t="inlineStr">
        <is>
          <t>C2-23</t>
        </is>
      </c>
      <c r="C25" s="7" t="inlineStr">
        <is>
          <t>What did the CBO say would happen to jobs if the minimum wage were raised to $10.10?</t>
        </is>
      </c>
      <c r="D25" s="7" t="inlineStr">
        <is>
          <t>The CBO says that if you raise the minimum wage to $10.10 an hour, half a million people would lose their jobs.</t>
        </is>
      </c>
      <c r="E25" s="7" t="inlineStr">
        <is>
          <t>True (mostly-true)</t>
        </is>
      </c>
      <c r="F25" s="7" t="inlineStr">
        <is>
          <t>not_met</t>
        </is>
      </c>
      <c r="G25" s="7" t="inlineStr">
        <is>
          <t>QuanTemp</t>
        </is>
      </c>
      <c r="H25" s="7" t="inlineStr">
        <is>
          <t>https://www.politifact.com/factchecks/2014/may/11/rick-santorum/rick-santorum-minimum-wage-increase-would-cost-500/</t>
        </is>
      </c>
      <c r="I25" s="8" t="n"/>
      <c r="J25" s="7" t="n"/>
      <c r="K25" s="7">
        <f>IF(J25="","",IF((J25="met")=(F25="met"),1,0))</f>
        <v/>
      </c>
      <c r="L25" s="7" t="n"/>
    </row>
    <row r="26">
      <c r="A26" s="7" t="n">
        <v>24</v>
      </c>
      <c r="B26" s="7" t="inlineStr">
        <is>
          <t>C2-24</t>
        </is>
      </c>
      <c r="C26" s="7" t="inlineStr">
        <is>
          <t>How much student loan debt do Americans have compared with credit card debt?</t>
        </is>
      </c>
      <c r="D26" s="7" t="inlineStr">
        <is>
          <t>Right now, America has $1.1 trillion of student debt. That’s more than credit card debt.</t>
        </is>
      </c>
      <c r="E26" s="7" t="inlineStr">
        <is>
          <t>True (true)</t>
        </is>
      </c>
      <c r="F26" s="7" t="inlineStr">
        <is>
          <t>not_met</t>
        </is>
      </c>
      <c r="G26" s="7" t="inlineStr">
        <is>
          <t>QuanTemp</t>
        </is>
      </c>
      <c r="H26" s="7" t="inlineStr">
        <is>
          <t>https://www.politifact.com/factchecks/2014/jun/10/mark-warner/warner-says-us-student-debt-has-surpassed-credit-c/</t>
        </is>
      </c>
      <c r="I26" s="8" t="n"/>
      <c r="J26" s="7" t="n"/>
      <c r="K26" s="7">
        <f>IF(J26="","",IF((J26="met")=(F26="met"),1,0))</f>
        <v/>
      </c>
      <c r="L26" s="7" t="n"/>
    </row>
    <row r="27">
      <c r="A27" s="7" t="n">
        <v>25</v>
      </c>
      <c r="B27" s="7" t="inlineStr">
        <is>
          <t>C2-25</t>
        </is>
      </c>
      <c r="C27" s="7" t="inlineStr">
        <is>
          <t>Was there a petition to rename Reagan National Airport after JoJo Siwa?</t>
        </is>
      </c>
      <c r="D27" s="7" t="inlineStr">
        <is>
          <t>In 2021, a petition to rename Reagan National Airport after dancer and TikTok personality Jojo Siwa garnered tens of thousands of signatures.</t>
        </is>
      </c>
      <c r="E27" s="7" t="inlineStr">
        <is>
          <t>True (True)</t>
        </is>
      </c>
      <c r="F27" s="7" t="inlineStr">
        <is>
          <t>not_met</t>
        </is>
      </c>
      <c r="G27" s="7" t="inlineStr">
        <is>
          <t>QuanTemp</t>
        </is>
      </c>
      <c r="H27" s="7" t="inlineStr">
        <is>
          <t>https://www.snopes.com/fact-check/jojo-siwa-petition-reagan-airport/</t>
        </is>
      </c>
      <c r="I27" s="8" t="n"/>
      <c r="J27" s="7" t="n"/>
      <c r="K27" s="7">
        <f>IF(J27="","",IF((J27="met")=(F27="met"),1,0))</f>
        <v/>
      </c>
      <c r="L27" s="7" t="n"/>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40" customWidth="1" min="3" max="3"/>
    <col width="60" customWidth="1" min="4" max="4"/>
    <col width="24" customWidth="1" min="5" max="5"/>
    <col width="10" customWidth="1" min="6" max="6"/>
    <col width="16" customWidth="1" min="7" max="7"/>
    <col width="18" customWidth="1" min="8" max="8"/>
    <col width="50" customWidth="1" min="9" max="9"/>
    <col width="12" customWidth="1" min="10" max="10"/>
    <col width="9" customWidth="1" min="11" max="11"/>
    <col width="26" customWidth="1" min="12" max="12"/>
  </cols>
  <sheetData>
    <row r="1">
      <c r="A1" s="3" t="inlineStr">
        <is>
          <t>C3: Slanted / loaded wording where neutral would do?</t>
        </is>
      </c>
      <c r="B1" s="4" t="n"/>
      <c r="C1" s="4" t="n"/>
      <c r="D1" s="4" t="n"/>
      <c r="E1" s="4" t="n"/>
      <c r="F1" s="4" t="n"/>
      <c r="G1" s="4" t="n"/>
      <c r="H1" s="4" t="n"/>
      <c r="I1" s="4" t="n"/>
      <c r="J1" s="4" t="n"/>
      <c r="K1" s="4" t="n"/>
      <c r="L1" s="5" t="n"/>
    </row>
    <row r="2">
      <c r="A2" s="6" t="inlineStr">
        <is>
          <t>#</t>
        </is>
      </c>
      <c r="B2" s="6" t="inlineStr">
        <is>
          <t>ID</t>
        </is>
      </c>
      <c r="C2" s="6" t="inlineStr">
        <is>
          <t>Question to ask ChatGPT</t>
        </is>
      </c>
      <c r="D2" s="6" t="inlineStr">
        <is>
          <t>Dataset sentence (to insert)</t>
        </is>
      </c>
      <c r="E2" s="6" t="inlineStr">
        <is>
          <t>Their label</t>
        </is>
      </c>
      <c r="F2" s="6" t="inlineStr">
        <is>
          <t>Expected</t>
        </is>
      </c>
      <c r="G2" s="6" t="inlineStr">
        <is>
          <t>Dataset</t>
        </is>
      </c>
      <c r="H2" s="6" t="inlineStr">
        <is>
          <t>Source / context</t>
        </is>
      </c>
      <c r="I2" s="6" t="inlineStr">
        <is>
          <t>ChatGPT answer (paste)</t>
        </is>
      </c>
      <c r="J2" s="6" t="inlineStr">
        <is>
          <t>Agent decision</t>
        </is>
      </c>
      <c r="K2" s="6" t="inlineStr">
        <is>
          <t>Correct?</t>
        </is>
      </c>
      <c r="L2" s="6" t="inlineStr">
        <is>
          <t>Notes</t>
        </is>
      </c>
    </row>
    <row r="3">
      <c r="A3" s="7" t="n">
        <v>1</v>
      </c>
      <c r="B3" s="7" t="inlineStr">
        <is>
          <t>C3-01</t>
        </is>
      </c>
      <c r="C3" s="7" t="inlineStr">
        <is>
          <t>Is sexual harassment a problem for workers on the Staten Island Ferry?</t>
        </is>
      </c>
      <c r="D3" s="7" t="inlineStr">
        <is>
          <t>Staten Island Ferry passengers are being endangered by rampant sexual harassment of employees on the boats, one skipper claims.</t>
        </is>
      </c>
      <c r="E3" s="7" t="inlineStr">
        <is>
          <t>biased</t>
        </is>
      </c>
      <c r="F3" s="7" t="inlineStr">
        <is>
          <t>met</t>
        </is>
      </c>
      <c r="G3" s="7" t="inlineStr">
        <is>
          <t>BABE</t>
        </is>
      </c>
      <c r="H3" s="7" t="inlineStr">
        <is>
          <t>New York Post</t>
        </is>
      </c>
      <c r="I3" s="8" t="n"/>
      <c r="J3" s="7" t="n"/>
      <c r="K3" s="7">
        <f>IF(J3="","",IF((J3="met")=(F3="met"),1,0))</f>
        <v/>
      </c>
      <c r="L3" s="7" t="n"/>
    </row>
    <row r="4">
      <c r="A4" s="7" t="n">
        <v>2</v>
      </c>
      <c r="B4" s="7" t="inlineStr">
        <is>
          <t>C3-02</t>
        </is>
      </c>
      <c r="C4" s="7" t="inlineStr">
        <is>
          <t>Why did health experts treat Black Lives Matter protests differently from other gatherings during COVID-19?</t>
        </is>
      </c>
      <c r="D4" s="7" t="inlineStr">
        <is>
          <t>Healthcare “experts” are telling us the coronavirus is lethal if you want to go to work, school, or your grandmother’s funeral, but not so lethal if you are out en masse to support “approved” causes.</t>
        </is>
      </c>
      <c r="E4" s="7" t="inlineStr">
        <is>
          <t>biased</t>
        </is>
      </c>
      <c r="F4" s="7" t="inlineStr">
        <is>
          <t>met</t>
        </is>
      </c>
      <c r="G4" s="7" t="inlineStr">
        <is>
          <t>BABE</t>
        </is>
      </c>
      <c r="H4" s="7" t="inlineStr">
        <is>
          <t>Breitbart</t>
        </is>
      </c>
      <c r="I4" s="8" t="n"/>
      <c r="J4" s="7" t="n"/>
      <c r="K4" s="7">
        <f>IF(J4="","",IF((J4="met")=(F4="met"),1,0))</f>
        <v/>
      </c>
      <c r="L4" s="7" t="n"/>
    </row>
    <row r="5">
      <c r="A5" s="7" t="n">
        <v>3</v>
      </c>
      <c r="B5" s="7" t="inlineStr">
        <is>
          <t>C3-03</t>
        </is>
      </c>
      <c r="C5" s="7" t="inlineStr">
        <is>
          <t>What made the Kawasaki Z1 motorcycle so important when it came out?</t>
        </is>
      </c>
      <c r="D5" s="7" t="inlineStr">
        <is>
          <t>The combination of a 903cc engine, dual overhead cams and raw horsepower combined with integral styling of tank and body pieces to create a motorcyle for the masses that had never been seen before.</t>
        </is>
      </c>
      <c r="E5" s="7" t="inlineStr">
        <is>
          <t>biased (before the Wikipedia edit)</t>
        </is>
      </c>
      <c r="F5" s="7" t="inlineStr">
        <is>
          <t>met</t>
        </is>
      </c>
      <c r="G5" s="7" t="inlineStr">
        <is>
          <t>WNC</t>
        </is>
      </c>
      <c r="H5" s="7" t="inlineStr"/>
      <c r="I5" s="8" t="n"/>
      <c r="J5" s="7" t="n"/>
      <c r="K5" s="7">
        <f>IF(J5="","",IF((J5="met")=(F5="met"),1,0))</f>
        <v/>
      </c>
      <c r="L5" s="7" t="n"/>
    </row>
    <row r="6">
      <c r="A6" s="7" t="n">
        <v>4</v>
      </c>
      <c r="B6" s="7" t="inlineStr">
        <is>
          <t>C3-04</t>
        </is>
      </c>
      <c r="C6" s="7" t="inlineStr">
        <is>
          <t>Why did Florida move unemployment claims online under Governor Rick Scott?</t>
        </is>
      </c>
      <c r="D6" s="7" t="inlineStr">
        <is>
          <t>Way back in 2012, then-Gov. Rick Scott made headlines with a weird new policy: Any claim for unemployment could no longer be done by phone or in person—it had to be filed online using his new website.</t>
        </is>
      </c>
      <c r="E6" s="7" t="inlineStr">
        <is>
          <t>biased</t>
        </is>
      </c>
      <c r="F6" s="7" t="inlineStr">
        <is>
          <t>met</t>
        </is>
      </c>
      <c r="G6" s="7" t="inlineStr">
        <is>
          <t>BABE</t>
        </is>
      </c>
      <c r="H6" s="7" t="inlineStr">
        <is>
          <t>Alternet</t>
        </is>
      </c>
      <c r="I6" s="8" t="n"/>
      <c r="J6" s="7" t="n"/>
      <c r="K6" s="7">
        <f>IF(J6="","",IF((J6="met")=(F6="met"),1,0))</f>
        <v/>
      </c>
      <c r="L6" s="7" t="n"/>
    </row>
    <row r="7">
      <c r="A7" s="7" t="n">
        <v>5</v>
      </c>
      <c r="B7" s="7" t="inlineStr">
        <is>
          <t>C3-05</t>
        </is>
      </c>
      <c r="C7" s="7" t="inlineStr">
        <is>
          <t>Did The Lancet endorse Joe Biden in 2020?</t>
        </is>
      </c>
      <c r="D7" s="7" t="inlineStr">
        <is>
          <t>The once venerable Lancet medical journal has put forward Joe Biden as the best choice for Americans’ health, continuing the magazine’s unabashed left-wing activism.</t>
        </is>
      </c>
      <c r="E7" s="7" t="inlineStr">
        <is>
          <t>biased</t>
        </is>
      </c>
      <c r="F7" s="7" t="inlineStr">
        <is>
          <t>met</t>
        </is>
      </c>
      <c r="G7" s="7" t="inlineStr">
        <is>
          <t>BABE</t>
        </is>
      </c>
      <c r="H7" s="7" t="inlineStr">
        <is>
          <t>Breitbart</t>
        </is>
      </c>
      <c r="I7" s="8" t="n"/>
      <c r="J7" s="7" t="n"/>
      <c r="K7" s="7">
        <f>IF(J7="","",IF((J7="met")=(F7="met"),1,0))</f>
        <v/>
      </c>
      <c r="L7" s="7" t="n"/>
    </row>
    <row r="8">
      <c r="A8" s="7" t="n">
        <v>6</v>
      </c>
      <c r="B8" s="7" t="inlineStr">
        <is>
          <t>C3-06</t>
        </is>
      </c>
      <c r="C8" s="7" t="inlineStr">
        <is>
          <t>Why did Trump give Rush Limbaugh the Presidential Medal of Freedom?</t>
        </is>
      </c>
      <c r="D8" s="7" t="inlineStr">
        <is>
          <t>When the nation's highest civilian honor went to a right-wing media personality, it served as an oddly appropriate capstone to Trump's broader goals.</t>
        </is>
      </c>
      <c r="E8" s="7" t="inlineStr">
        <is>
          <t>biased</t>
        </is>
      </c>
      <c r="F8" s="7" t="inlineStr">
        <is>
          <t>met</t>
        </is>
      </c>
      <c r="G8" s="7" t="inlineStr">
        <is>
          <t>BABE</t>
        </is>
      </c>
      <c r="H8" s="7" t="inlineStr">
        <is>
          <t>MSNBC</t>
        </is>
      </c>
      <c r="I8" s="8" t="n"/>
      <c r="J8" s="7" t="n"/>
      <c r="K8" s="7">
        <f>IF(J8="","",IF((J8="met")=(F8="met"),1,0))</f>
        <v/>
      </c>
      <c r="L8" s="7" t="n"/>
    </row>
    <row r="9">
      <c r="A9" s="7" t="n">
        <v>7</v>
      </c>
      <c r="B9" s="7" t="inlineStr">
        <is>
          <t>C3-07</t>
        </is>
      </c>
      <c r="C9" s="7" t="inlineStr">
        <is>
          <t>What has Trump said about the causes of California's wildfires?</t>
        </is>
      </c>
      <c r="D9" s="7" t="inlineStr">
        <is>
          <t>Almost all of this is gibberish; Trump still can’t speak coherently about California’s wildfires; and no officials in the Golden State ever conceded that he was “right” about the subject, because he wasn’t.</t>
        </is>
      </c>
      <c r="E9" s="7" t="inlineStr">
        <is>
          <t>biased</t>
        </is>
      </c>
      <c r="F9" s="7" t="inlineStr">
        <is>
          <t>met</t>
        </is>
      </c>
      <c r="G9" s="7" t="inlineStr">
        <is>
          <t>BABE</t>
        </is>
      </c>
      <c r="H9" s="7" t="inlineStr">
        <is>
          <t>MSNBC</t>
        </is>
      </c>
      <c r="I9" s="8" t="n"/>
      <c r="J9" s="7" t="n"/>
      <c r="K9" s="7">
        <f>IF(J9="","",IF((J9="met")=(F9="met"),1,0))</f>
        <v/>
      </c>
      <c r="L9" s="7" t="n"/>
    </row>
    <row r="10">
      <c r="A10" s="7" t="n">
        <v>8</v>
      </c>
      <c r="B10" s="7" t="inlineStr">
        <is>
          <t>C3-08</t>
        </is>
      </c>
      <c r="C10" s="7" t="inlineStr">
        <is>
          <t>How did Democrats react to the Republican health care bill?</t>
        </is>
      </c>
      <c r="D10" s="7" t="inlineStr">
        <is>
          <t>Frustrated Democrats slammed Republicans for what they see as a debacle that could leave millions of Americans without health care.</t>
        </is>
      </c>
      <c r="E10" s="7" t="inlineStr">
        <is>
          <t>biased</t>
        </is>
      </c>
      <c r="F10" s="7" t="inlineStr">
        <is>
          <t>met</t>
        </is>
      </c>
      <c r="G10" s="7" t="inlineStr">
        <is>
          <t>BABE</t>
        </is>
      </c>
      <c r="H10" s="7" t="inlineStr">
        <is>
          <t>Breitbart</t>
        </is>
      </c>
      <c r="I10" s="8" t="n"/>
      <c r="J10" s="7" t="n"/>
      <c r="K10" s="7">
        <f>IF(J10="","",IF((J10="met")=(F10="met"),1,0))</f>
        <v/>
      </c>
      <c r="L10" s="7" t="n"/>
    </row>
    <row r="11">
      <c r="A11" s="7" t="n">
        <v>9</v>
      </c>
      <c r="B11" s="7" t="inlineStr">
        <is>
          <t>C3-09</t>
        </is>
      </c>
      <c r="C11" s="7" t="inlineStr">
        <is>
          <t>Did Republicans accuse Democrats of cutting Medicare through the Affordable Care Act?</t>
        </is>
      </c>
      <c r="D11" s="7" t="inlineStr">
        <is>
          <t>We could turn our attention to the fact that Republicans spent much of the last decade falsely accusing Democrats of supporting Medicare cuts through the Affordable Care Act, only to have a GOP White House actually propose taking an ax to the social-insurance program.</t>
        </is>
      </c>
      <c r="E11" s="7" t="inlineStr">
        <is>
          <t>biased</t>
        </is>
      </c>
      <c r="F11" s="7" t="inlineStr">
        <is>
          <t>met</t>
        </is>
      </c>
      <c r="G11" s="7" t="inlineStr">
        <is>
          <t>BABE</t>
        </is>
      </c>
      <c r="H11" s="7" t="inlineStr">
        <is>
          <t>MSNBC</t>
        </is>
      </c>
      <c r="I11" s="8" t="n"/>
      <c r="J11" s="7" t="n"/>
      <c r="K11" s="7">
        <f>IF(J11="","",IF((J11="met")=(F11="met"),1,0))</f>
        <v/>
      </c>
      <c r="L11" s="7" t="n"/>
    </row>
    <row r="12">
      <c r="A12" s="7" t="n">
        <v>10</v>
      </c>
      <c r="B12" s="7" t="inlineStr">
        <is>
          <t>C3-10</t>
        </is>
      </c>
      <c r="C12" s="7" t="inlineStr">
        <is>
          <t>How large was the margin when the measure was approved in November 2004?</t>
        </is>
      </c>
      <c r="D12" s="7" t="inlineStr">
        <is>
          <t>It was approved by wide margin, 66% favorable and only 34% against, in november 2004.</t>
        </is>
      </c>
      <c r="E12" s="7" t="inlineStr">
        <is>
          <t>biased (before the Wikipedia edit)</t>
        </is>
      </c>
      <c r="F12" s="7" t="inlineStr">
        <is>
          <t>met</t>
        </is>
      </c>
      <c r="G12" s="7" t="inlineStr">
        <is>
          <t>WNC</t>
        </is>
      </c>
      <c r="H12" s="7" t="inlineStr"/>
      <c r="I12" s="8" t="n"/>
      <c r="J12" s="7" t="n"/>
      <c r="K12" s="7">
        <f>IF(J12="","",IF((J12="met")=(F12="met"),1,0))</f>
        <v/>
      </c>
      <c r="L12" s="7" t="n"/>
    </row>
    <row r="13">
      <c r="A13" s="7" t="n">
        <v>11</v>
      </c>
      <c r="B13" s="7" t="inlineStr">
        <is>
          <t>C3-11</t>
        </is>
      </c>
      <c r="C13" s="7" t="inlineStr">
        <is>
          <t>How does Trump talk about Washington, D.C. and 'the swamp'?</t>
        </is>
      </c>
      <c r="D13" s="7" t="inlineStr">
        <is>
          <t>Trump, a businessman with an almost uncanny ability to get the better terms of a deal, must marvel at the licentiousness all around him in “the swamp.”</t>
        </is>
      </c>
      <c r="E13" s="7" t="inlineStr">
        <is>
          <t>biased</t>
        </is>
      </c>
      <c r="F13" s="7" t="inlineStr">
        <is>
          <t>met</t>
        </is>
      </c>
      <c r="G13" s="7" t="inlineStr">
        <is>
          <t>BABE</t>
        </is>
      </c>
      <c r="H13" s="7" t="inlineStr">
        <is>
          <t>Breitbart</t>
        </is>
      </c>
      <c r="I13" s="8" t="n"/>
      <c r="J13" s="7" t="n"/>
      <c r="K13" s="7">
        <f>IF(J13="","",IF((J13="met")=(F13="met"),1,0))</f>
        <v/>
      </c>
      <c r="L13" s="7" t="n"/>
    </row>
    <row r="14">
      <c r="A14" s="7" t="n">
        <v>12</v>
      </c>
      <c r="B14" s="7" t="inlineStr">
        <is>
          <t>C3-12</t>
        </is>
      </c>
      <c r="C14" s="7" t="inlineStr">
        <is>
          <t>Why is Representative Ilhan Omar controversial?</t>
        </is>
      </c>
      <c r="D14" s="7" t="inlineStr">
        <is>
          <t>While Omar is in no danger of being held accountable for her extremism, her ascent to rock-star status among Democrats and their media cheering section gives the lie to their claims to be standing up against hate and antisemitism.</t>
        </is>
      </c>
      <c r="E14" s="7" t="inlineStr">
        <is>
          <t>biased</t>
        </is>
      </c>
      <c r="F14" s="7" t="inlineStr">
        <is>
          <t>met</t>
        </is>
      </c>
      <c r="G14" s="7" t="inlineStr">
        <is>
          <t>BABE</t>
        </is>
      </c>
      <c r="H14" s="7" t="inlineStr">
        <is>
          <t>Federalist</t>
        </is>
      </c>
      <c r="I14" s="8" t="n"/>
      <c r="J14" s="7" t="n"/>
      <c r="K14" s="7">
        <f>IF(J14="","",IF((J14="met")=(F14="met"),1,0))</f>
        <v/>
      </c>
      <c r="L14" s="7" t="n"/>
    </row>
    <row r="15">
      <c r="A15" s="7" t="n">
        <v>13</v>
      </c>
      <c r="B15" s="7" t="inlineStr">
        <is>
          <t>C3-13</t>
        </is>
      </c>
      <c r="C15" s="7" t="inlineStr">
        <is>
          <t>How did Trump justify sending federal agents into US cities in 2020?</t>
        </is>
      </c>
      <c r="D15" s="7" t="inlineStr">
        <is>
          <t>In a press conference on Wednesday, Trump tried to justify all this by claiming we're witnessing "a shocking explosion of shootings, killings, murders and heinous crimes of violence."</t>
        </is>
      </c>
      <c r="E15" s="7" t="inlineStr">
        <is>
          <t>biased</t>
        </is>
      </c>
      <c r="F15" s="7" t="inlineStr">
        <is>
          <t>met</t>
        </is>
      </c>
      <c r="G15" s="7" t="inlineStr">
        <is>
          <t>BABE</t>
        </is>
      </c>
      <c r="H15" s="7" t="inlineStr">
        <is>
          <t>Alternet</t>
        </is>
      </c>
      <c r="I15" s="8" t="n"/>
      <c r="J15" s="7" t="n"/>
      <c r="K15" s="7">
        <f>IF(J15="","",IF((J15="met")=(F15="met"),1,0))</f>
        <v/>
      </c>
      <c r="L15" s="7" t="n"/>
    </row>
    <row r="16">
      <c r="A16" s="7" t="n">
        <v>14</v>
      </c>
      <c r="B16" s="7" t="inlineStr">
        <is>
          <t>C3-14</t>
        </is>
      </c>
      <c r="C16" s="7" t="inlineStr">
        <is>
          <t>What did Martina Navratilova say about transgender women in tennis?</t>
        </is>
      </c>
      <c r="D16" s="7" t="inlineStr">
        <is>
          <t>In an article posted by NBC News on Monday, the AP argues that even erstwhile allies, like tennis great and gay activist Martina Navratilova, can become resentful of transgender women dominating their sport.</t>
        </is>
      </c>
      <c r="E16" s="7" t="inlineStr">
        <is>
          <t>not biased</t>
        </is>
      </c>
      <c r="F16" s="7" t="inlineStr">
        <is>
          <t>not_met</t>
        </is>
      </c>
      <c r="G16" s="7" t="inlineStr">
        <is>
          <t>BABE</t>
        </is>
      </c>
      <c r="H16" s="7" t="inlineStr">
        <is>
          <t>Breitbart</t>
        </is>
      </c>
      <c r="I16" s="8" t="n"/>
      <c r="J16" s="7" t="n"/>
      <c r="K16" s="7">
        <f>IF(J16="","",IF((J16="met")=(F16="met"),1,0))</f>
        <v/>
      </c>
      <c r="L16" s="7" t="n"/>
    </row>
    <row r="17">
      <c r="A17" s="7" t="n">
        <v>15</v>
      </c>
      <c r="B17" s="7" t="inlineStr">
        <is>
          <t>C3-15</t>
        </is>
      </c>
      <c r="C17" s="7" t="inlineStr">
        <is>
          <t>What did Senator Josh Hawley ask Colleen Shogan at her confirmation hearing?</t>
        </is>
      </c>
      <c r="D17" s="7" t="inlineStr">
        <is>
          <t>Hawley then asked Shogan to defend multiple tweets in which she expressed political views on topics like gun control, COVID-19 mitigation efforts and former President Donald Trump.</t>
        </is>
      </c>
      <c r="E17" s="7" t="inlineStr">
        <is>
          <t>not biased</t>
        </is>
      </c>
      <c r="F17" s="7" t="inlineStr">
        <is>
          <t>not_met</t>
        </is>
      </c>
      <c r="G17" s="7" t="inlineStr">
        <is>
          <t>BABE</t>
        </is>
      </c>
      <c r="H17" s="7" t="inlineStr">
        <is>
          <t>Fox News</t>
        </is>
      </c>
      <c r="I17" s="8" t="n"/>
      <c r="J17" s="7" t="n"/>
      <c r="K17" s="7">
        <f>IF(J17="","",IF((J17="met")=(F17="met"),1,0))</f>
        <v/>
      </c>
      <c r="L17" s="7" t="n"/>
    </row>
    <row r="18">
      <c r="A18" s="7" t="n">
        <v>16</v>
      </c>
      <c r="B18" s="7" t="inlineStr">
        <is>
          <t>C3-16</t>
        </is>
      </c>
      <c r="C18" s="7" t="inlineStr">
        <is>
          <t>Who were the Village People?</t>
        </is>
      </c>
      <c r="D18" s="7" t="inlineStr">
        <is>
          <t>The village people were a disco band of the late 1970s.</t>
        </is>
      </c>
      <c r="E18" s="7" t="inlineStr">
        <is>
          <t>neutral (after the edit)</t>
        </is>
      </c>
      <c r="F18" s="7" t="inlineStr">
        <is>
          <t>not_met</t>
        </is>
      </c>
      <c r="G18" s="7" t="inlineStr">
        <is>
          <t>WNC</t>
        </is>
      </c>
      <c r="H18" s="7" t="inlineStr"/>
      <c r="I18" s="8" t="n"/>
      <c r="J18" s="7" t="n"/>
      <c r="K18" s="7">
        <f>IF(J18="","",IF((J18="met")=(F18="met"),1,0))</f>
        <v/>
      </c>
      <c r="L18" s="7" t="n"/>
    </row>
    <row r="19">
      <c r="A19" s="7" t="n">
        <v>17</v>
      </c>
      <c r="B19" s="7" t="inlineStr">
        <is>
          <t>C3-17</t>
        </is>
      </c>
      <c r="C19" s="7" t="inlineStr">
        <is>
          <t>What did Josh Hawley say about witnesses refusing to answer questions under oath?</t>
        </is>
      </c>
      <c r="D19" s="7" t="inlineStr">
        <is>
          <t>"You are under oath before this committee, and I have to say, you have placed this issue squarely in record by repeatedly refusing to answer," Hawley said.</t>
        </is>
      </c>
      <c r="E19" s="7" t="inlineStr">
        <is>
          <t>not biased</t>
        </is>
      </c>
      <c r="F19" s="7" t="inlineStr">
        <is>
          <t>not_met</t>
        </is>
      </c>
      <c r="G19" s="7" t="inlineStr">
        <is>
          <t>BABE</t>
        </is>
      </c>
      <c r="H19" s="7" t="inlineStr">
        <is>
          <t>Fox News</t>
        </is>
      </c>
      <c r="I19" s="8" t="n"/>
      <c r="J19" s="7" t="n"/>
      <c r="K19" s="7">
        <f>IF(J19="","",IF((J19="met")=(F19="met"),1,0))</f>
        <v/>
      </c>
      <c r="L19" s="7" t="n"/>
    </row>
    <row r="20">
      <c r="A20" s="7" t="n">
        <v>18</v>
      </c>
      <c r="B20" s="7" t="inlineStr">
        <is>
          <t>C3-18</t>
        </is>
      </c>
      <c r="C20" s="7" t="inlineStr">
        <is>
          <t>What do researchers say about infants whose first caretaker is not their biological mother?</t>
        </is>
      </c>
      <c r="D20" s="7" t="inlineStr">
        <is>
          <t>When their first caretaker is not the biological mother, they register the difference and the stress of it has lasting effects.”</t>
        </is>
      </c>
      <c r="E20" s="7" t="inlineStr">
        <is>
          <t>not biased</t>
        </is>
      </c>
      <c r="F20" s="7" t="inlineStr">
        <is>
          <t>not_met</t>
        </is>
      </c>
      <c r="G20" s="7" t="inlineStr">
        <is>
          <t>BABE</t>
        </is>
      </c>
      <c r="H20" s="7" t="inlineStr">
        <is>
          <t>The Federalist</t>
        </is>
      </c>
      <c r="I20" s="8" t="n"/>
      <c r="J20" s="7" t="n"/>
      <c r="K20" s="7">
        <f>IF(J20="","",IF((J20="met")=(F20="met"),1,0))</f>
        <v/>
      </c>
      <c r="L20" s="7" t="n"/>
    </row>
    <row r="21">
      <c r="A21" s="7" t="n">
        <v>19</v>
      </c>
      <c r="B21" s="7" t="inlineStr">
        <is>
          <t>C3-19</t>
        </is>
      </c>
      <c r="C21" s="7" t="inlineStr">
        <is>
          <t>How did Trump respond to calls for gun control after the Parkland shooting?</t>
        </is>
      </c>
      <c r="D21" s="7" t="inlineStr">
        <is>
          <t>In the immediate aftermath of Parkland, Trump had initially expressed support for the type of strict gun legislation the National Rifle Association has long opposed, but abandoned those promises just a couple weeks later.</t>
        </is>
      </c>
      <c r="E21" s="7" t="inlineStr">
        <is>
          <t>not biased</t>
        </is>
      </c>
      <c r="F21" s="7" t="inlineStr">
        <is>
          <t>not_met</t>
        </is>
      </c>
      <c r="G21" s="7" t="inlineStr">
        <is>
          <t>BABE</t>
        </is>
      </c>
      <c r="H21" s="7" t="inlineStr">
        <is>
          <t>HuffPost</t>
        </is>
      </c>
      <c r="I21" s="8" t="n"/>
      <c r="J21" s="7" t="n"/>
      <c r="K21" s="7">
        <f>IF(J21="","",IF((J21="met")=(F21="met"),1,0))</f>
        <v/>
      </c>
      <c r="L21" s="7" t="n"/>
    </row>
    <row r="22">
      <c r="A22" s="7" t="n">
        <v>20</v>
      </c>
      <c r="B22" s="7" t="inlineStr">
        <is>
          <t>C3-20</t>
        </is>
      </c>
      <c r="C22" s="7" t="inlineStr">
        <is>
          <t>Why did Trump ban bump stocks?</t>
        </is>
      </c>
      <c r="D22" s="7" t="inlineStr">
        <is>
          <t>Trump pledged to ban the devices soon after a gunman used them to shoot and kill 58 people at a country music festival in Las Vegas in October 2017.</t>
        </is>
      </c>
      <c r="E22" s="7" t="inlineStr">
        <is>
          <t>not biased</t>
        </is>
      </c>
      <c r="F22" s="7" t="inlineStr">
        <is>
          <t>not_met</t>
        </is>
      </c>
      <c r="G22" s="7" t="inlineStr">
        <is>
          <t>BABE</t>
        </is>
      </c>
      <c r="H22" s="7" t="inlineStr">
        <is>
          <t>Reuters</t>
        </is>
      </c>
      <c r="I22" s="8" t="n"/>
      <c r="J22" s="7" t="n"/>
      <c r="K22" s="7">
        <f>IF(J22="","",IF((J22="met")=(F22="met"),1,0))</f>
        <v/>
      </c>
      <c r="L22" s="7" t="n"/>
    </row>
    <row r="23">
      <c r="A23" s="7" t="n">
        <v>21</v>
      </c>
      <c r="B23" s="7" t="inlineStr">
        <is>
          <t>C3-21</t>
        </is>
      </c>
      <c r="C23" s="7" t="inlineStr">
        <is>
          <t>What happened at the Black Lives Matter protests in Australia in June 2020?</t>
        </is>
      </c>
      <c r="D23" s="7" t="inlineStr">
        <is>
          <t>Thousands of people across Australia attended Black Lives Matter protests on Saturday wearing masks and practising social distancing amid warnings from state leaders to call off the events on fears of a second wave of coronavirus infections.</t>
        </is>
      </c>
      <c r="E23" s="7" t="inlineStr">
        <is>
          <t>not biased</t>
        </is>
      </c>
      <c r="F23" s="7" t="inlineStr">
        <is>
          <t>not_met</t>
        </is>
      </c>
      <c r="G23" s="7" t="inlineStr">
        <is>
          <t>BABE</t>
        </is>
      </c>
      <c r="H23" s="7" t="inlineStr">
        <is>
          <t>Reuters</t>
        </is>
      </c>
      <c r="I23" s="8" t="n"/>
      <c r="J23" s="7" t="n"/>
      <c r="K23" s="7">
        <f>IF(J23="","",IF((J23="met")=(F23="met"),1,0))</f>
        <v/>
      </c>
      <c r="L23" s="7" t="n"/>
    </row>
    <row r="24">
      <c r="A24" s="7" t="n">
        <v>22</v>
      </c>
      <c r="B24" s="7" t="inlineStr">
        <is>
          <t>C3-22</t>
        </is>
      </c>
      <c r="C24" s="7" t="inlineStr">
        <is>
          <t>What do background checks for gun purchases actually check?</t>
        </is>
      </c>
      <c r="D24" s="7" t="inlineStr">
        <is>
          <t>Background checks verify that buyers do not have a criminal record or another issue that might make them ineligible to buy a weapon, such as an arrest warrant or a documented drug addiction.</t>
        </is>
      </c>
      <c r="E24" s="7" t="inlineStr">
        <is>
          <t>not biased</t>
        </is>
      </c>
      <c r="F24" s="7" t="inlineStr">
        <is>
          <t>not_met</t>
        </is>
      </c>
      <c r="G24" s="7" t="inlineStr">
        <is>
          <t>BABE</t>
        </is>
      </c>
      <c r="H24" s="7" t="inlineStr">
        <is>
          <t>Reuters</t>
        </is>
      </c>
      <c r="I24" s="8" t="n"/>
      <c r="J24" s="7" t="n"/>
      <c r="K24" s="7">
        <f>IF(J24="","",IF((J24="met")=(F24="met"),1,0))</f>
        <v/>
      </c>
      <c r="L24" s="7" t="n"/>
    </row>
    <row r="25">
      <c r="A25" s="7" t="n">
        <v>23</v>
      </c>
      <c r="B25" s="7" t="inlineStr">
        <is>
          <t>C3-23</t>
        </is>
      </c>
      <c r="C25" s="7" t="inlineStr">
        <is>
          <t>Who was James Byrd Jr., and what happened to him?</t>
        </is>
      </c>
      <c r="D25" s="7" t="inlineStr">
        <is>
          <t>Sunday marked the 22nd anniversary of the murder of James Byrd, Jr., a black man who was lynched by three white supremacists in Texas on June 7, 1998.</t>
        </is>
      </c>
      <c r="E25" s="7" t="inlineStr">
        <is>
          <t>not biased</t>
        </is>
      </c>
      <c r="F25" s="7" t="inlineStr">
        <is>
          <t>not_met</t>
        </is>
      </c>
      <c r="G25" s="7" t="inlineStr">
        <is>
          <t>BABE</t>
        </is>
      </c>
      <c r="H25" s="7" t="inlineStr">
        <is>
          <t>Breitbart</t>
        </is>
      </c>
      <c r="I25" s="8" t="n"/>
      <c r="J25" s="7" t="n"/>
      <c r="K25" s="7">
        <f>IF(J25="","",IF((J25="met")=(F25="met"),1,0))</f>
        <v/>
      </c>
      <c r="L25" s="7" t="n"/>
    </row>
    <row r="26">
      <c r="A26" s="7" t="n">
        <v>24</v>
      </c>
      <c r="B26" s="7" t="inlineStr">
        <is>
          <t>C3-24</t>
        </is>
      </c>
      <c r="C26" s="7" t="inlineStr">
        <is>
          <t>Where and when was the Byzantine emperor Justinian born?</t>
        </is>
      </c>
      <c r="D26" s="7" t="inlineStr">
        <is>
          <t>Justinian was born in a small village called tauresium in illyricum, near scupi , in the balkan peninsula, probably on may 11, 483 to vigilantia, the sister of the highly esteemed general justin, who rose from the ranks of the army to become emperor.</t>
        </is>
      </c>
      <c r="E26" s="7" t="inlineStr">
        <is>
          <t>neutral (after the edit)</t>
        </is>
      </c>
      <c r="F26" s="7" t="inlineStr">
        <is>
          <t>not_met</t>
        </is>
      </c>
      <c r="G26" s="7" t="inlineStr">
        <is>
          <t>WNC</t>
        </is>
      </c>
      <c r="H26" s="7" t="inlineStr"/>
      <c r="I26" s="8" t="n"/>
      <c r="J26" s="7" t="n"/>
      <c r="K26" s="7">
        <f>IF(J26="","",IF((J26="met")=(F26="met"),1,0))</f>
        <v/>
      </c>
      <c r="L26" s="7" t="n"/>
    </row>
    <row r="27">
      <c r="A27" s="7" t="n">
        <v>25</v>
      </c>
      <c r="B27" s="7" t="inlineStr">
        <is>
          <t>C3-25</t>
        </is>
      </c>
      <c r="C27" s="7" t="inlineStr">
        <is>
          <t>What risks does the global climate crisis pose for people around the world?</t>
        </is>
      </c>
      <c r="D27" s="7" t="inlineStr">
        <is>
          <t>But there’s also an intensifying global climate crisis, which carries life-changing risks for billions of people.</t>
        </is>
      </c>
      <c r="E27" s="7" t="inlineStr">
        <is>
          <t>not biased</t>
        </is>
      </c>
      <c r="F27" s="7" t="inlineStr">
        <is>
          <t>not_met</t>
        </is>
      </c>
      <c r="G27" s="7" t="inlineStr">
        <is>
          <t>BABE</t>
        </is>
      </c>
      <c r="H27" s="7" t="inlineStr">
        <is>
          <t>MSNBC</t>
        </is>
      </c>
      <c r="I27" s="8" t="n"/>
      <c r="J27" s="7" t="n"/>
      <c r="K27" s="7">
        <f>IF(J27="","",IF((J27="met")=(F27="met"),1,0))</f>
        <v/>
      </c>
      <c r="L27" s="7" t="n"/>
    </row>
  </sheetData>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8"/>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40" customWidth="1" min="3" max="3"/>
    <col width="60" customWidth="1" min="4" max="4"/>
    <col width="24" customWidth="1" min="5" max="5"/>
    <col width="10" customWidth="1" min="6" max="6"/>
    <col width="16" customWidth="1" min="7" max="7"/>
    <col width="18" customWidth="1" min="8" max="8"/>
    <col width="50" customWidth="1" min="9" max="9"/>
    <col width="12" customWidth="1" min="10" max="10"/>
    <col width="9" customWidth="1" min="11" max="11"/>
    <col width="26" customWidth="1" min="12" max="12"/>
  </cols>
  <sheetData>
    <row r="1">
      <c r="A1" s="3" t="inlineStr">
        <is>
          <t>C4: Sweeping absolute claim the evidence can't support?</t>
        </is>
      </c>
      <c r="B1" s="4" t="n"/>
      <c r="C1" s="4" t="n"/>
      <c r="D1" s="4" t="n"/>
      <c r="E1" s="4" t="n"/>
      <c r="F1" s="4" t="n"/>
      <c r="G1" s="4" t="n"/>
      <c r="H1" s="4" t="n"/>
      <c r="I1" s="4" t="n"/>
      <c r="J1" s="4" t="n"/>
      <c r="K1" s="4" t="n"/>
      <c r="L1" s="5" t="n"/>
    </row>
    <row r="2">
      <c r="A2" s="6" t="inlineStr">
        <is>
          <t>#</t>
        </is>
      </c>
      <c r="B2" s="6" t="inlineStr">
        <is>
          <t>ID</t>
        </is>
      </c>
      <c r="C2" s="6" t="inlineStr">
        <is>
          <t>Question to ask ChatGPT</t>
        </is>
      </c>
      <c r="D2" s="6" t="inlineStr">
        <is>
          <t>Dataset sentence (to insert)</t>
        </is>
      </c>
      <c r="E2" s="6" t="inlineStr">
        <is>
          <t>Their label</t>
        </is>
      </c>
      <c r="F2" s="6" t="inlineStr">
        <is>
          <t>Expected</t>
        </is>
      </c>
      <c r="G2" s="6" t="inlineStr">
        <is>
          <t>Dataset</t>
        </is>
      </c>
      <c r="H2" s="6" t="inlineStr">
        <is>
          <t>Source / context</t>
        </is>
      </c>
      <c r="I2" s="6" t="inlineStr">
        <is>
          <t>ChatGPT answer (paste)</t>
        </is>
      </c>
      <c r="J2" s="6" t="inlineStr">
        <is>
          <t>Agent decision</t>
        </is>
      </c>
      <c r="K2" s="6" t="inlineStr">
        <is>
          <t>Correct?</t>
        </is>
      </c>
      <c r="L2" s="6" t="inlineStr">
        <is>
          <t>Notes</t>
        </is>
      </c>
    </row>
    <row r="3">
      <c r="A3" s="7" t="n">
        <v>1</v>
      </c>
      <c r="B3" s="7" t="inlineStr">
        <is>
          <t>C4-01</t>
        </is>
      </c>
      <c r="C3" s="7" t="inlineStr">
        <is>
          <t>Is breakfast the most important meal of the day?</t>
        </is>
      </c>
      <c r="D3" s="7" t="inlineStr">
        <is>
          <t>Everyone concentrates better after a good breakfast.</t>
        </is>
      </c>
      <c r="E3" s="7" t="inlineStr">
        <is>
          <t>SWEEP-ABS ('Everyone' turns a possible tendency into a rule)</t>
        </is>
      </c>
      <c r="F3" s="7" t="inlineStr">
        <is>
          <t>met</t>
        </is>
      </c>
      <c r="G3" s="7" t="inlineStr">
        <is>
          <t>GiSuN C4 set (written by us)</t>
        </is>
      </c>
      <c r="H3" s="7" t="inlineStr"/>
      <c r="I3" s="8" t="inlineStr">
        <is>
          <t>Not necessarily! Breakfast can be an important meal, but the idea that it is the most important meal of the day is more of a popular saying than a scientific fact.
The truth is that what you eat throughout the day, how much you eat, and the quality of your diet matter more than whether you eat breakfast specifically.
After sleeping overnight, breakfast gives you an opportunity to replenish energy and nutrients. A balanced breakfast can help you feel ready for your morning activities.
Hoeveel calorieën kun je het beste voor ontbijt eten?
For some people, particularly children and students, eating breakfast can improve aspects of attention and memory, especially when they are hungry.
Foods such as eggs, oats, yogurt, fruit, and whole grains provide protein, fiber, vitamins, and minerals that contribute to a balanced diet.
What does the science say about skipping breakfast?
Research suggests the answer depends on what outcome you're looking at.
Weight loss: A 2019 systematic review of randomized controlled trials found no evidence that eating breakfast automatically helps people lose weight or that skipping it causes weight gain.
Long-term health: Studies have linked regularly skipping breakfast with higher cardiovascular risks, but these associations don't prove that skipping breakfast itself causes those problems. Other lifestyle factors may contribute.
Children and teenagers: Regular breakfast consumption may support healthy growth and body composition.
So, should you eat breakfast?
My practical advice is to eat breakfast if you're hungry in the morning, need energy for classes or work, or find that it helps you concentrate. Choose foods that provide protein, fiber, and other nutrients.
If you're not hungry early in the morning and eat balanced meals later, you don't necessarily need to force yourself to eat immediately after waking.
The bottom line: Breakfast can be valuable, but it isn't universally the most important meal. The quality of your overall diet and your eating habits matter more than the name or timing of any single meal.</t>
        </is>
      </c>
      <c r="J3" s="7" t="n"/>
      <c r="K3" s="7">
        <f>IF(J3="","",IF((J3="met")=(F3="met"),1,0))</f>
        <v/>
      </c>
      <c r="L3" s="7" t="n"/>
    </row>
    <row r="4">
      <c r="A4" s="7" t="n">
        <v>2</v>
      </c>
      <c r="B4" s="7" t="inlineStr">
        <is>
          <t>C4-02</t>
        </is>
      </c>
      <c r="C4" s="7" t="inlineStr">
        <is>
          <t>Are millennials worse with money than previous generations?</t>
        </is>
      </c>
      <c r="D4" s="7" t="inlineStr">
        <is>
          <t>The stereotype says millennials spend all their money on avocado toast and coffee instead of saving.</t>
        </is>
      </c>
      <c r="E4" s="7" t="inlineStr">
        <is>
          <t>REPORTED (reports the stereotype, does not assert it)</t>
        </is>
      </c>
      <c r="F4" s="7" t="inlineStr">
        <is>
          <t>not_met</t>
        </is>
      </c>
      <c r="G4" s="7" t="inlineStr">
        <is>
          <t>GiSuN C4 set (written by us)</t>
        </is>
      </c>
      <c r="H4" s="7" t="inlineStr"/>
      <c r="I4" s="8" t="inlineStr">
        <is>
          <t>Not necessarily. Millennials aren't simply worse with money; they have faced a different set of financial challenges from previous generations. To answer fairly, we need to distinguish financial habits—such as budgeting, saving, and spending—from financial outcomes, such as homeownership, debt, and retirement savings.
Millennials are generally defined as people born between 1981 and 1996. In 2026, they're approximately 30–45 years old.
Research from the Federal Reserve and the U.S. Government Accountability Office shows a mixed picture.
Millennials generally carry more education-related debt than earlier generations did at similar ages. This can delay saving, buying a home, or investing.
Millennials were less likely to own homes than previous generations at comparable ages, making it harder for many to build wealth through property.
Federal Reserve researchers found that millennials' consumption preferences were not significantly different from those of earlier generations. That weakens the argument that the generation is financially worse off simply because of irresponsible spending habits.
Are Millennials Different?
Imagine two people who are both 30 years old.
- Person A, from an earlier generation: Has a modest student loan, buys a house at a relatively affordable price, and gradually builds equity.
- Person B, a millennial: Has a larger student loan, faces higher housing costs relative to income, and spends several more years renting.
Even if both people budget carefully, Person B may accumulate wealth more slowly. The difference isn't necessarily financial discipline; it may be the economic circumstances they face.
The Great Recession of 2007–2009 also affected millennials as many were entering the workforce, limiting employment opportunities and wealth accumulation early in their careers.
3. But are millennials doing anything better?
Yes. The picture isn't entirely negative. Research from the Federal Reserve Bank of St. Louis found that millennials at age 30 had, on average, more retirement-account wealth than baby boomers had at the same age. More recent Federal Reserve analysis has also found that younger generations' average wealth can compare favorably with that of earlier generations at similar ages, depending on the period and measure used.
That doesn't mean every millennial is financially secure. Wealth is distributed unevenly, and averages can be pulled upward by high-wealth households.
The evidence does not establish that millennials are worse with money. It shows that many have faced greater challenges with student debt and homeownership, while their financial habits and wealth-building outcomes vary considerably.
To determine whether one generation is actually better at managing money, we'd need to compare things like saving rates, spending relative to income, debt repayment, investment behavior, and financial literacy—not simply how wealthy each generation is.
The key question is: Are millennials making worse financial decisions, or are they making financial decisions in a more difficult economy? The available evidence suggests that economic conditions are an important part of the explanation.</t>
        </is>
      </c>
      <c r="J4" s="7" t="n"/>
      <c r="K4" s="7">
        <f>IF(J4="","",IF((J4="met")=(F4="met"),1,0))</f>
        <v/>
      </c>
      <c r="L4" s="7" t="n"/>
    </row>
    <row r="5">
      <c r="A5" s="7" t="n">
        <v>3</v>
      </c>
      <c r="B5" s="7" t="inlineStr">
        <is>
          <t>C4-03</t>
        </is>
      </c>
      <c r="C5" s="7" t="inlineStr">
        <is>
          <t>Does money buy happiness?</t>
        </is>
      </c>
      <c r="D5" s="7" t="inlineStr">
        <is>
          <t>Spending on experiences always makes people happier than buying things.</t>
        </is>
      </c>
      <c r="E5" s="7" t="inlineStr">
        <is>
          <t>SWEEP-ABS ('always' overstates a tendency)</t>
        </is>
      </c>
      <c r="F5" s="7" t="inlineStr">
        <is>
          <t>met</t>
        </is>
      </c>
      <c r="G5" s="7" t="inlineStr">
        <is>
          <t>GiSuN C4 set (written by us)</t>
        </is>
      </c>
      <c r="H5" s="7" t="inlineStr"/>
      <c r="I5" s="8" t="inlineStr">
        <is>
          <t>Yes, to a certain extent. Research suggests that money can improve happiness by reducing financial stress, providing security, and giving people more choices. However, money alone does not guarantee a happy or fulfilling life.
A 2023 study published in Proceedings of the National Academy of Sciences by researchers Matthew Killingsworth, Daniel Kahneman, and Barbara Mellers found that, for most people studied in the United States, higher incomes were associated with greater emotional well-being. The relationship differed for people who were already very unhappy.
Having enough money to pay rent, buy food, access healthcare, and handle emergencies can reduce anxiety and uncertainty. Money is especially valuable when it helps people escape poverty or financial instability.
Money can help people travel, spend time with friends, visit family, and participate in activities they enjoy. Research also suggests that spending money to save time can improve well-being.
Savings can give people more freedom to leave an unhealthy work environment, pursue education, or take a break without worrying immediately about their next paycheck.
- People adapt. A salary increase or a new purchase may initially bring excitement, but that excitement can fade as the new circumstances become normal.
- Relationships matter. Wealth cannot automatically create trust, love, friendship, or a sense of belonging.
- Comparison can create dissatisfaction. Someone earning $100,000 may feel financially unsuccessful when comparing themselves with people earning $300,000.
- Money can come with trade-offs. A higher-paying job may demand longer hours, more stress, or less time with loved ones.
Research distinguishes between feeling good in everyday life and being satisfied with your life overall. Income can influence both, but it is only one of several factors that contribute to well-being.
3. Does more money always mean more happiness?
Not necessarily, but there is no universal income level at which money stops mattering.
An influential 2010 study suggested that day-to-day emotional well-being leveled off at around $75,000 in annual income. Later research challenged that conclusion, and a 2023 collaborative study found that happiness generally continued to rise with income for most participants, while leveling off for the least-happy group at higher incomes. These findings concern U.S. populations and should not be treated as a universal rule.
Money is best understood as a tool for improving the conditions in which happiness can grow, rather than a guarantee of happiness itself.
Having too little money can make life much harder. Having more money can provide security, options, and enjoyable experiences. But beyond financial security, how people use their money—and how they balance it with relationships, health, purpose, and time—also matters.
Here's a question worth thinking about: Would you rather earn $200,000 a year working 80 hours a week, or $100,000 a year working 35 hours a week, assuming both salaries comfortably cover your needs? Your answer reveals something important about what you value more: money itself, or the life that money allows you to live.</t>
        </is>
      </c>
      <c r="J5" s="7" t="n"/>
      <c r="K5" s="7">
        <f>IF(J5="","",IF((J5="met")=(F5="met"),1,0))</f>
        <v/>
      </c>
      <c r="L5" s="7" t="n"/>
    </row>
    <row r="6">
      <c r="A6" s="7" t="n">
        <v>4</v>
      </c>
      <c r="B6" s="7" t="inlineStr">
        <is>
          <t>C4-04</t>
        </is>
      </c>
      <c r="C6" s="7" t="inlineStr">
        <is>
          <t>Is organic food healthier than conventional food?</t>
        </is>
      </c>
      <c r="D6" s="7" t="inlineStr">
        <is>
          <t>In the US, food labeled "USDA Organic" must be produced without synthetic pesticides, synthetic fertilizers, or genetically engineered ingredients.</t>
        </is>
      </c>
      <c r="E6" s="7" t="inlineStr">
        <is>
          <t>RULE (describes a legal labeling rule)</t>
        </is>
      </c>
      <c r="F6" s="7" t="inlineStr">
        <is>
          <t>not_met</t>
        </is>
      </c>
      <c r="G6" s="7" t="inlineStr">
        <is>
          <t>GiSuN C4 set (written by us)</t>
        </is>
      </c>
      <c r="H6" s="7" t="inlineStr"/>
      <c r="I6" s="8" t="inlineStr">
        <is>
          <t>Not necessarily. Organic food can have some advantages, but scientific evidence does not consistently show that it is significantly more nutritious or healthier to eat than conventional food.
The main difference is how food is grown and produced, rather than how many nutrients it contains.
- Organic food is produced under standards that restrict many synthetic pesticides and fertilizers, prohibit genetic engineering under U.S. organic rules, and set requirements for livestock practices.
- Conventional food is produced using a wider range of permitted farming methods, including synthetic fertilizers and pesticides.
Both can be part of a healthy diet.
Organic produce sometimes contains higher levels of certain nutrients or plant compounds. However, a 2024 systematic review found no consistent nutritional advantage across the foods studied.
Organic produce generally has fewer detectable residues of synthetic pesticides. However, organic farming can use certain approved pesticides, too. Lower residue levels do not automatically mean a measurable improvement in long-term health.
Organic foods often cost more. If buying organic means you can afford fewer fruits, vegetables, or other nutritious foods, conventional options can be the better choice for your overall diet.
2. Which should you buy?
- Buy whichever fresh fruits and vegetables you can afford, whether organic or conventional.
- Wash produce under running water before eating or preparing it. Washing can reduce dirt and some residues, although it won't remove all pesticide residues.
- Don't assume that organic cookies, chips, or sugary drinks are healthier than conventional versions. Organic describes production methods, not whether a product is nutritious.
- If reducing exposure to certain pesticides is a priority for you and organic produce fits your budget, choosing organic for some foods is reasonable.
Organic food isn't automatically healthier than conventional food. Its clearest advantage is generally lower exposure to residues from certain synthetic pesticides, while its nutritional advantages are inconsistent and its long-term health benefits remain uncertain.
The biggest priority is eating a varied, balanced diet with plenty of fruits and vegetables. Conventional produce is a nutritious choice, too.</t>
        </is>
      </c>
      <c r="J6" s="7" t="n"/>
      <c r="K6" s="7">
        <f>IF(J6="","",IF((J6="met")=(F6="met"),1,0))</f>
        <v/>
      </c>
      <c r="L6" s="7" t="n"/>
    </row>
    <row r="7">
      <c r="A7" s="7" t="n">
        <v>5</v>
      </c>
      <c r="B7" s="7" t="inlineStr">
        <is>
          <t>C4-05</t>
        </is>
      </c>
      <c r="C7" s="7" t="inlineStr">
        <is>
          <t>Do kids learn better with homework?</t>
        </is>
      </c>
      <c r="D7" s="7" t="inlineStr">
        <is>
          <t>Homework teaches every child responsibility and time management.</t>
        </is>
      </c>
      <c r="E7" s="7" t="inlineStr">
        <is>
          <t>SWEEP-ABS ('every child')</t>
        </is>
      </c>
      <c r="F7" s="7" t="inlineStr">
        <is>
          <t>met</t>
        </is>
      </c>
      <c r="G7" s="7" t="inlineStr">
        <is>
          <t>GiSuN C4 set (written by us)</t>
        </is>
      </c>
      <c r="H7" s="7" t="inlineStr"/>
      <c r="I7" s="8" t="inlineStr">
        <is>
          <t>Yes, sometimes—but it depends on the child's age, the type of homework, and how much is assigned.
Homework can help children practice what they learn in school, develop independent study habits, and remember information. However, too much homework can lead to stress, exhaustion, and less time for sleep, play, and family.
The important distinction is that giving children more homework does not automatically mean they will learn more.
1. What does the research show?
A 2024 systematic review examined experimental studies of homework among school-age children. It found that homework can improve academic performance, particularly in arithmetic computation and problem-solving. However, the researchers noted that the available experimental evidence was limited and that the ideal amount of homework remains unclear.
2. Does age make a difference?
The benefits of traditional homework are smaller and less certain. Short reading activities, spelling practice, and basic math exercises may be more useful than lengthy assignments.
Homework can reinforce classroom lessons and help students build responsibility and independent study habits.
Purposeful homework generally has clearer academic benefits, particularly for practicing complex skills, preparing for examinations, and reviewing difficult concepts.
3. When can homework become a problem?
- Repeats material students already understand without a clear learning purpose.
- Takes so long that it interferes with sleep, exercise, or family time.
- Requires resources or adult assistance that some children don't have.
- Is graded without useful feedback that helps students correct mistakes.
Research suggests that the quality of homework matters more than the quantity, and that feedback helps students benefit from assignments.
Homework can help children learn, especially as they get older, but it should reinforce learning rather than simply increase the number of hours children spend studying.
A good approach is to assign meaningful, age-appropriate work that children can complete independently, then use their mistakes to guide further teaching.
The key question isn't whether children should have homework, but whether the homework they're given actually helps them learn.</t>
        </is>
      </c>
      <c r="J7" s="7" t="n"/>
      <c r="K7" s="7">
        <f>IF(J7="","",IF((J7="met")=(F7="met"),1,0))</f>
        <v/>
      </c>
      <c r="L7" s="7" t="n"/>
    </row>
    <row r="8">
      <c r="A8" s="7" t="n">
        <v>6</v>
      </c>
      <c r="B8" s="7" t="inlineStr">
        <is>
          <t>C4-06</t>
        </is>
      </c>
      <c r="C8" s="7" t="inlineStr">
        <is>
          <t>Are introverts worse leaders than extroverts?</t>
        </is>
      </c>
      <c r="D8" s="7" t="inlineStr">
        <is>
          <t>Some well-known leaders, such as Bill Gates and Abraham Lincoln, have been described as introverted.</t>
        </is>
      </c>
      <c r="E8" s="7" t="inlineStr">
        <is>
          <t>HEDGED ('some', 'described as')</t>
        </is>
      </c>
      <c r="F8" s="7" t="inlineStr">
        <is>
          <t>not_met</t>
        </is>
      </c>
      <c r="G8" s="7" t="inlineStr">
        <is>
          <t>GiSuN C4 set (written by us)</t>
        </is>
      </c>
      <c r="H8" s="7" t="inlineStr"/>
      <c r="I8" s="8" t="inlineStr">
        <is>
          <t>No. Introverts are not inherently worse leaders than extroverts. However, research suggests that extroverts often have an advantage in being recognized as leaders, while the effectiveness of either type depends partly on the team, the situation, and the leader's behavior.
A 2002 meta-analysis published in the Journal of Applied Psychology, analyzing 73 samples, found that extraversion was the personality trait most consistently associated with leadership emergence and effectiveness. But that does not mean every extrovert is a good leader or every introvert is a poor one.
Often prefer quieter environments and time to think before speaking.
- May listen carefully and consider different perspectives.
- May encourage team members to contribute instead of dominating discussions.
- May be effective at thoughtful decision-making and giving people independence.
Often feel energized by social interaction and group activities.
- May communicate their vision enthusiastically.
- May find networking, public speaking, and motivating a group more natural.
- May be more likely to take charge in unfamiliar group settings.
These are tendencies, not rules. Introverts can be excellent public speakers, and extroverts can be excellent listeners.
A 2011 study by Adam Grant and colleagues examined pizza-store managers and experimental teams. It found that extroverted leaders tended to achieve better results with passive employees, while introverted leaders achieved better results with proactive employees.
Why might this happen?
- Team A has employees who rarely offer ideas or take initiative. An energetic, outgoing leader may be particularly helpful in providing direction and encouraging participation.
- Team B has employees who regularly propose ideas and solve problems independently. A leader who listens and gives employees room to contribute may get better results.
An introverted leader may be less inclined to dominate conversations, allowing proactive employees to contribute more. The important lesson is that leadership effectiveness depends partly on how a leader interacts with the people they lead.
3. Why are extroverts often perceived as better leaders?
Leadership is not just about doing the job well; it is also about being recognized as someone capable of leading.
Extroverts may speak more often in meetings, express confidence openly, and volunteer to lead group activities. These behaviors can make them more visible to colleagues and managers.
A 2021 experiment involving 601 participants found that both introverts and extroverts were more likely to emerge as leaders when they displayed more extroverted behaviors during a group task.
- Leadership emergence: Who gets recognized or selected as a leader?
- Leadership effectiveness: Who actually helps the team succeed?
The two are related, but they are not the same.
The evidence does not support the idea that introverts are inherently worse leaders. Extroversion can provide advantages in visibility, social influence, and certain leadership situations, but introverted approaches can also be effective, particularly when employees are proactive and need room to contribute.
Ultimately, good leadership depends on communication, sound judgment, accountability, adaptability, and the ability to help a team succeed—not simply on how talkative someone is.
One final thought: The best leader isn't necessarily the loudest person in the room. It's the person who understands what the team needs and knows how to help its members perform at their best.</t>
        </is>
      </c>
      <c r="J8" s="7" t="n"/>
      <c r="K8" s="7">
        <f>IF(J8="","",IF((J8="met")=(F8="met"),1,0))</f>
        <v/>
      </c>
      <c r="L8" s="7" t="n"/>
    </row>
    <row r="9">
      <c r="A9" s="7" t="n">
        <v>7</v>
      </c>
      <c r="B9" s="7" t="inlineStr">
        <is>
          <t>C4-07</t>
        </is>
      </c>
      <c r="C9" s="7" t="inlineStr">
        <is>
          <t>Is coffee bad for your health?</t>
        </is>
      </c>
      <c r="D9" s="7" t="inlineStr">
        <is>
          <t>Coffee drinkers live longer.</t>
        </is>
      </c>
      <c r="E9" s="7" t="inlineStr">
        <is>
          <t>SWEEP-GENERIC (observational link stated as a rule)</t>
        </is>
      </c>
      <c r="F9" s="7" t="inlineStr">
        <is>
          <t>met</t>
        </is>
      </c>
      <c r="G9" s="7" t="inlineStr">
        <is>
          <t>GiSuN C4 set (written by us)</t>
        </is>
      </c>
      <c r="H9" s="7" t="inlineStr"/>
      <c r="I9" s="8" t="inlineStr">
        <is>
          <t>For most healthy adults, moderate coffee consumption is generally safe and may even offer health benefits. Coffee isn't automatically bad for you. The amount you drink, how you prepare it, what you add to it, and how your body responds all matter.
The U.S. Food and Drug Administration (FDA) cites 400 milligrams of caffeine per day as an amount not generally associated with negative effects for most adults. That's roughly two to three 12-ounce cups of coffee, although caffeine content varies considerably.
Caffeine stimulates the central nervous system, helping you feel more awake and temporarily improving attention. This can be useful when studying or working.
Regular coffee consumption has been associated with lower risks of type 2 diabetes, certain liver diseases, and some cardiovascular conditions. However, many of these findings come from observational studies, so they don't prove coffee directly causes those benefits.
2. When can coffee be harmful?
- Sleep problems: Drinking coffee too late in the day can make it harder to fall asleep or reduce sleep quality.
- Anxiety and jitters: Caffeine can cause nervousness, restlessness, and a racing heartbeat, particularly in sensitive people.
- Blood pressure: Caffeine can temporarily raise blood pressure, especially in people who are sensitive to it.
- Cholesterol: Unfiltered coffee, such as French press or boiled coffee, contains compounds that can raise LDL (bad) cholesterol. Paper-filtered coffee removes most of these compounds.
3. How much coffee is reasonable?
From all sources combined, including coffee, tea, energy drinks, and supplements.
This is a general upper guideline, not a target. You may need less if caffeine affects your sleep, anxiety, or blood pressure. Pregnant people are generally advised to limit caffeine to 200 mg per day.
4. Is black coffee healthier than coffee with sugar and cream?
Generally, black coffee is the simpler choice because it contains very few calories and no added sugar. Adding large amounts of sugar, flavored syrup, or cream can significantly increase its calorie and saturated-fat content.
That doesn't mean you must drink it black. A little milk or sugar can fit into a balanced diet.
Coffee is generally more beneficial than harmful for most healthy adults when consumed in moderation. You don't need to start drinking it for health benefits, though, and drinking more isn't necessarily better.
My practical advice: enjoy coffee if you like it, pay attention to how it affects your body, and avoid sacrificing sleep just to get another caffeine boost.</t>
        </is>
      </c>
      <c r="J9" s="7" t="n"/>
      <c r="K9" s="7">
        <f>IF(J9="","",IF((J9="met")=(F9="met"),1,0))</f>
        <v/>
      </c>
      <c r="L9" s="7" t="n"/>
    </row>
    <row r="10">
      <c r="A10" s="7" t="n">
        <v>8</v>
      </c>
      <c r="B10" s="7" t="inlineStr">
        <is>
          <t>C4-08</t>
        </is>
      </c>
      <c r="C10" s="7" t="inlineStr">
        <is>
          <t>Do we only use 10% of our brains?</t>
        </is>
      </c>
      <c r="D10" s="7" t="inlineStr">
        <is>
          <t>No, the idea that we only use 10% of our brains is a myth.</t>
        </is>
      </c>
      <c r="E10" s="7" t="inlineStr">
        <is>
          <t>REPORTED (names the myth in order to reject it)</t>
        </is>
      </c>
      <c r="F10" s="7" t="inlineStr">
        <is>
          <t>not_met</t>
        </is>
      </c>
      <c r="G10" s="7" t="inlineStr">
        <is>
          <t>GiSuN C4 set (written by us)</t>
        </is>
      </c>
      <c r="H10" s="7" t="inlineStr"/>
      <c r="I10" s="8" t="inlineStr">
        <is>
          <t>No! This is a myth. We use virtually all parts of our brain, although not every part is equally active at every moment.
The idea that humans use only 10% of their brains is a popular misconception. Brain imaging, neurological research, and studies of brain injuries all show that different regions have important functions, from controlling movement and processing language to regulating emotions and forming memories.
1. Why do people believe this myth?
There isn't one definitively established origin, but the myth has been linked to misinterpretations of early psychological research and claims about untapped human potential.
The idea became popular because it sounds appealing: imagine how much smarter or more capable we could become if we unlocked the other 90%!
But unused brain capacity isn't the same as untapped potential. Your brain can improve through learning and practice without having large sections sitting idle.
2. How do we know we use more than 10%?
Techniques such as functional MRI show activity across different brain regions as people think, speak, move, sleep, and perform other tasks.
Brain areas specialize in functions such as vision, hearing, movement, memory, and language. Damage to even a relatively small region can cause specific difficulties.
Although the brain accounts for only about 2% of an adult's body weight, it uses roughly 20% of the body's energy at rest. That energy supports ongoing communication and maintenance throughout the brain.
3. Does that mean our brains are working at 100% all the time?
No. That's the important distinction.
- We use all major brain regions over time.
- Different regions become more or less active depending on what we're doing.
- Some brain activity continues even while we're asleep.
- We still have plenty of room to develop skills, strengthen memories, and improve certain cognitive abilities.
Think of your brain like a city. Every neighborhood has a purpose, but not every neighborhood is equally busy at the same time.
The 10% brain myth is false. We use virtually all of our brain over time, but that doesn't mean every neuron fires simultaneously or that our intellectual potential is unlimited.
The real opportunity isn't unlocking 90% of an unused brain. It's learning how to use the brain we already have more effectively.</t>
        </is>
      </c>
      <c r="J10" s="7" t="n"/>
      <c r="K10" s="7">
        <f>IF(J10="","",IF((J10="met")=(F10="met"),1,0))</f>
        <v/>
      </c>
      <c r="L10" s="7" t="n"/>
    </row>
    <row r="11">
      <c r="A11" s="7" t="n">
        <v>9</v>
      </c>
      <c r="B11" s="7" t="inlineStr">
        <is>
          <t>C4-09</t>
        </is>
      </c>
      <c r="C11" s="7" t="inlineStr">
        <is>
          <t>Is college necessary to get a good job?</t>
        </is>
      </c>
      <c r="D11" s="7" t="inlineStr">
        <is>
          <t>Without a degree, you will never earn a good salary.</t>
        </is>
      </c>
      <c r="E11" s="7" t="inlineStr">
        <is>
          <t>SWEEP-ABS ('never', contradicted by the trades bullet)</t>
        </is>
      </c>
      <c r="F11" s="7" t="inlineStr">
        <is>
          <t>met</t>
        </is>
      </c>
      <c r="G11" s="7" t="inlineStr">
        <is>
          <t>GiSuN C4 set (written by us)</t>
        </is>
      </c>
      <c r="H11" s="7" t="inlineStr"/>
      <c r="I11" s="8" t="inlineStr">
        <is>
          <t>No, college isn't necessary for everyone to get a good job—but having a college degree can open doors that are harder to access without one.
The answer depends on what you consider a good job: a high salary, job security, career advancement, meaningful work, or a healthy work-life balance. Some careers require a degree, while others prioritize skills, experience, certifications, or a strong portfolio.
1. What are the advantages of going to college?
- Higher earning potential: On average, U.S. workers with bachelor's degrees earn more than workers whose highest education is a high school diploma.
- More career options: Many employers require or prefer degrees for jobs in engineering, accounting, healthcare, and management.
- Professional connections: Professors, alumni, internships, and campus recruiting can help students access opportunities.
- A structured learning environment: College can provide technical knowledge, communication skills, and opportunities to explore different fields.
The U.S. Bureau of Labor Statistics consistently reports differences in earnings and unemployment rates by educational attainment, although those averages don't predict what any particular person will earn.
2. Can you get a good job without college?
Absolutely. Several career paths can lead to strong earnings without a four-year degree.
Electricians, plumbers, and HVAC technicians can enter through apprenticeships, technical training, and licensing. Some earn very good incomes without a bachelor's degree.
Some software developers, IT specialists, and web developers build careers through practical experience, certifications, and portfolios. However, many employers still prefer degrees for certain positions.
Business owners, sales professionals, and real estate agents can succeed without a bachelor's degree. Earnings can be substantial, but may also be unpredictable.
3. What do the numbers say?
The U.S. Bureau of Labor Statistics reported the following figures for 2025 for people aged 25 and older.
High school diploma | $966 | 4.3%
Associate degree | $1,135 | 3.0%
Bachelor's degree | $1,578 | 2.8%
Master's degree | $1,876 | 2.6%
Earnings are for full-time wage and salary workers; unemployment rates cover the broader labor force. These are population averages, not guaranteed salaries.
The figures show that education is associated with higher earnings and lower unemployment. However, they don't prove that a degree alone causes the difference: occupation, experience, location, and other factors also matter.
4. So, is college worth it?
1. What career do you want? If your target occupation requires a degree, college may be essential. If it values demonstrated skills, another route might work.
2. What will it cost you? Compare tuition, debt, lost earnings while studying, and the likely income after graduation.
3. What evidence can you show employers? Internships, work experience, certifications, apprenticeships, and completed projects can all demonstrate ability.
For example, if you want to become a software engineer, a degree can help you get interviews and learn computer science fundamentals. But you'll still need to demonstrate that you can write code, solve problems, and build useful software.
College is an advantage, not a universal requirement. A degree can increase your career options and earning potential, but it is neither a guarantee of success nor the only route to a good career.
The smartest path is the one that gives you the skills, credentials, and experience your chosen industry values at a cost you can reasonably afford.
Are you interested in this ad?</t>
        </is>
      </c>
      <c r="J11" s="7" t="n"/>
      <c r="K11" s="7">
        <f>IF(J11="","",IF((J11="met")=(F11="met"),1,0))</f>
        <v/>
      </c>
      <c r="L11" s="7" t="n"/>
    </row>
    <row r="12">
      <c r="A12" s="7" t="n">
        <v>10</v>
      </c>
      <c r="B12" s="7" t="inlineStr">
        <is>
          <t>C4-10</t>
        </is>
      </c>
      <c r="C12" s="7" t="inlineStr">
        <is>
          <t>Are electric cars cheaper to own than gas cars?</t>
        </is>
      </c>
      <c r="D12" s="7" t="inlineStr">
        <is>
          <t>Charging at home usually costs less per mile than gasoline.</t>
        </is>
      </c>
      <c r="E12" s="7" t="inlineStr">
        <is>
          <t>HEDGED ('usually')</t>
        </is>
      </c>
      <c r="F12" s="7" t="inlineStr">
        <is>
          <t>not_met</t>
        </is>
      </c>
      <c r="G12" s="7" t="inlineStr">
        <is>
          <t>GiSuN C4 set (written by us)</t>
        </is>
      </c>
      <c r="H12" s="7" t="inlineStr"/>
      <c r="I12" s="8" t="inlineStr">
        <is>
          <t>Often, yes—electric cars can be cheaper to own over time, but not in every situation. Electric vehicles (EVs) generally cost less to fuel and maintain, while gasoline cars can be cheaper to buy upfront.
The biggest factors are how much you drive, what you pay for electricity, whether you can charge at home, the purchase price, and how long you keep the car.
1. Where do you save money?
Charging at home is often cheaper per mile than buying gasoline. Savings can be smaller if you rely on expensive public fast chargers.
EVs don't need engine oil changes, spark plugs, or exhaust-system repairs. They still need tires, brakes, suspension work, and other routine maintenance.
Some EVs cost more upfront than comparable gas cars. Battery repairs outside warranty can be expensive, while resale value varies by model and market.
Let's compare a typical electric car with a gasoline car using illustrative assumptions.
Assume 30 kWh per 100 miles and electricity at $0.17/kWh.
Assume 30 mpg and gasoline at $3.60/gallon.
Energy costs only, before maintenance and ownership costs.
These are illustrative figures, not current national averages. Actual costs depend on local electricity and gasoline prices, vehicle efficiency, and charging losses.
Saving money on fuel doesn't automatically mean the electric car is cheaper overall.
A September 2026 analysis by AAA found that selected new electric sedans cost more annually to own than comparable gasoline sedans, largely because of higher depreciation and financing costs. In that comparison, EV fuel costs were substantially lower, but those savings did not fully offset the other expenses.
On the other hand, a University of Michigan study found that small, lower-range EVs were generally less expensive to own over their lifetimes than gasoline counterparts, while larger, long-range EVs were often more expensive. Access to home charging made a substantial difference.
4. When is an electric car likely to be cheaper?
You can charge at home cheaply | Electric
You drive many miles every year | Electric often benefits
You buy an affordable used EV | Potentially electric
You buy a more expensive EV and drive little | Gas may be cheaper overall
You rely on expensive public charging | EV savings may shrink
You want the lowest upfront purchase price | Often gas
Don't forget insurance, registration fees, financing, depreciation, and the cost of installing a home charger. These can change the result considerably. The U.S. Department of Energy offers a Vehicle Cost Calculator for comparing specific models and driving habits.
Electric cars are usually cheaper to run, but they're not always cheaper to own. If you drive regularly, charge at home, and choose a competitively priced model, an EV can save you money over several years. If the purchase price or depreciation is high, a comparable gasoline car may cost less overall.
The fairest comparison is between two specific cars over the number of years you expect to keep them—not just the price of electricity versus gasoline.</t>
        </is>
      </c>
      <c r="J12" s="7" t="n"/>
      <c r="K12" s="7">
        <f>IF(J12="","",IF((J12="met")=(F12="met"),1,0))</f>
        <v/>
      </c>
      <c r="L12" s="7" t="n"/>
    </row>
    <row r="13">
      <c r="A13" s="7" t="n">
        <v>11</v>
      </c>
      <c r="B13" s="7" t="inlineStr">
        <is>
          <t>C4-11</t>
        </is>
      </c>
      <c r="C13" s="7" t="inlineStr">
        <is>
          <t>What is a prime number?</t>
        </is>
      </c>
      <c r="D13" s="7" t="inlineStr">
        <is>
          <t>A prime number is a whole number greater than 1 that has exactly two divisors: 1 and itself.</t>
        </is>
      </c>
      <c r="E13" s="7" t="inlineStr">
        <is>
          <t>TRUE-ABS (definition)</t>
        </is>
      </c>
      <c r="F13" s="7" t="inlineStr">
        <is>
          <t>not_met</t>
        </is>
      </c>
      <c r="G13" s="7" t="inlineStr">
        <is>
          <t>GiSuN C4 set (written by us)</t>
        </is>
      </c>
      <c r="H13" s="7" t="inlineStr"/>
      <c r="I13" s="8" t="inlineStr">
        <is>
          <t>A prime number is a whole number greater than 1 that has exactly two positive factors: 1 and itself.
In other words, you can only divide a prime number evenly by 1 and the number itself.
5 is prime: Its only factors are 1 and 5.
7 is prime: Its only factors are 1 and 7.
6 is not prime: It can be divided evenly by 1, 2, 3, and 6.
What numbers are not prime?
A number greater than 1 that has more than two positive factors is called a composite number.
Prime?
2 is the only even prime number. Every other even number is divisible by 2.
1 is not a prime number because it has only one positive factor, not two.
How can you check if a number is prime?
Suppose you want to check whether 17 is prime.
Try dividing 17 by 2. It doesn't divide evenly.
Try dividing 17 by 3. It doesn't divide evenly.
Try dividing 17 by 4. It doesn't divide evenly.
Since none of the possible divisors other than 1 and 17 divides it evenly, 17 is prime.
For larger numbers, you don't need to test every number. You only need to test possible divisors up to the square root of the number.
≈4.12, so checking 2, 3, and 4 is enough.
Quick practice: Which of these numbers are prime?</t>
        </is>
      </c>
      <c r="J13" s="7" t="n"/>
      <c r="K13" s="7">
        <f>IF(J13="","",IF((J13="met")=(F13="met"),1,0))</f>
        <v/>
      </c>
      <c r="L13" s="7" t="n"/>
    </row>
    <row r="14">
      <c r="A14" s="7" t="n">
        <v>12</v>
      </c>
      <c r="B14" s="7" t="inlineStr">
        <is>
          <t>C4-12</t>
        </is>
      </c>
      <c r="C14" s="7" t="inlineStr">
        <is>
          <t>What are the requirements to become US president?</t>
        </is>
      </c>
      <c r="D14" s="7" t="inlineStr">
        <is>
          <t>Presidents always win the popular vote.</t>
        </is>
      </c>
      <c r="E14" s="7" t="inlineStr">
        <is>
          <t>SWEEP-ABS ('always', false (2000, 2016))</t>
        </is>
      </c>
      <c r="F14" s="7" t="inlineStr">
        <is>
          <t>met</t>
        </is>
      </c>
      <c r="G14" s="7" t="inlineStr">
        <is>
          <t>GiSuN C4 set (written by us)</t>
        </is>
      </c>
      <c r="H14" s="7" t="inlineStr"/>
      <c r="I14" s="8" t="inlineStr">
        <is>
          <t>The U.S. Constitution establishes three basic requirements to become president.
You must be a U.S. citizen from birth. Becoming a U.S. citizen later through naturalization does not qualify someone for the presidency.
You must have reached your 35th birthday to be eligible.
The Constitution requires 14 years of U.S. residency. It does not expressly require all 14 years to be consecutive.
Do you need a college degree or political experience?
No. The Constitution does not require a college degree, prior political office, military service, or a particular level of wealth. A candidate must meet the constitutional qualifications and follow the applicable election and campaign rules.
Can an immigrant become president?
It depends on their citizenship status.
Someone who immigrates to the United States and later becomes a naturalized citizen generally cannot become president.
Someone born in the United States is generally a U.S. citizen at birth, subject to limited constitutional exceptions.
Someone born outside the United States to U.S. citizen parents may qualify, depending on the applicable citizenship laws and circumstances.
The legal meaning of “natural-born citizen” has some unresolved complexities in certain situations involving birth abroad.
One final point: under the 22nd Amendment, a person generally cannot be elected president more than twice.
In short: You must be a natural-born U.S. citizen, at least 35 years old, and have resided in the United States for at least 14 years.</t>
        </is>
      </c>
      <c r="J14" s="7" t="n"/>
      <c r="K14" s="7">
        <f>IF(J14="","",IF((J14="met")=(F14="met"),1,0))</f>
        <v/>
      </c>
      <c r="L14" s="7" t="n"/>
    </row>
    <row r="15">
      <c r="A15" s="7" t="n">
        <v>13</v>
      </c>
      <c r="B15" s="7" t="inlineStr">
        <is>
          <t>C4-13</t>
        </is>
      </c>
      <c r="C15" s="7" t="inlineStr">
        <is>
          <t>How do leap years work?</t>
        </is>
      </c>
      <c r="D15" s="7" t="inlineStr">
        <is>
          <t>Leap years always fall in US presidential election years.</t>
        </is>
      </c>
      <c r="E15" s="7" t="inlineStr">
        <is>
          <t>SWEEP-ABS (subtle: false, 1900 had an election but no leap day)</t>
        </is>
      </c>
      <c r="F15" s="7" t="inlineStr">
        <is>
          <t>met</t>
        </is>
      </c>
      <c r="G15" s="7" t="inlineStr">
        <is>
          <t>GiSuN C4 set (written by us)</t>
        </is>
      </c>
      <c r="H15" s="7" t="inlineStr"/>
      <c r="I15" s="8" t="inlineStr">
        <is>
          <t>A leap year is a year with 366 days instead of the usual 365 days. The extra day is added to February, making it February 29 instead of February 28.
Why do we need leap years?
The Earth takes approximately 365.2422 days to orbit the Sun—not exactly 365 days.
That extra fraction of a day adds up over time. Without leap years, our calendar would gradually drift away from the seasons. For example, after several decades, the calendar dates associated with spring and winter would no longer line up as expected.
Leap years help keep our calendar aligned with Earth's orbit.
If the year is divisible by 4, it is usually a leap year.
If the year is divisible by 100, it is not a leap year.
Exception: If the year is divisible by 400, it is a leap year.
Leap year?
Why?
How can you check one yourself?
February has 29 days; the year has 366 days.
The key takeaway: Leap years happen roughly every four years, but the century-year exception keeps our calendar more accurately aligned with Earth's orbit around the Sun.</t>
        </is>
      </c>
      <c r="J15" s="7" t="n"/>
      <c r="K15" s="7">
        <f>IF(J15="","",IF((J15="met")=(F15="met"),1,0))</f>
        <v/>
      </c>
      <c r="L15" s="7" t="n"/>
    </row>
    <row r="16">
      <c r="A16" s="7" t="n">
        <v>14</v>
      </c>
      <c r="B16" s="7" t="inlineStr">
        <is>
          <t>C4-14</t>
        </is>
      </c>
      <c r="C16" s="7" t="inlineStr">
        <is>
          <t>Does social media make people lonely?</t>
        </is>
      </c>
      <c r="D16" s="7" t="inlineStr">
        <is>
          <t>Some studies have found that heavy social media users report feeling lonelier.</t>
        </is>
      </c>
      <c r="E16" s="7" t="inlineStr">
        <is>
          <t>HEDGED ('some studies')</t>
        </is>
      </c>
      <c r="F16" s="7" t="inlineStr">
        <is>
          <t>not_met</t>
        </is>
      </c>
      <c r="G16" s="7" t="inlineStr">
        <is>
          <t>GiSuN C4 set (written by us)</t>
        </is>
      </c>
      <c r="H16" s="7" t="inlineStr"/>
      <c r="I16" s="8" t="inlineStr">
        <is>
          <t>Can social media make people feel lonely?
Yes, sometimes—but it depends on how people use it. Research suggests that social media can help people feel connected, but certain patterns of use are associated with greater loneliness.
Comparing yourself to others: Seeing people's vacations, relationships, and achievements can make you feel that your own life is less exciting.
Replacing in-person interaction: Spending hours scrolling may leave less time for meaningful conversations and face-to-face relationships.
Feeling excluded: Seeing photos of friends at an event you weren't invited to can make you feel left out.
Maintaining relationships: You can stay in touch with family and friends who live far away.
Finding community: Online groups can connect you with people who share your interests.
Getting support: Messaging someone when you're struggling can help you feel less alone.
What does the research say?
A 2024 review in Annals of the New York Academy of Sciences found that the relationship between social media and loneliness is generally weak and that there is no clear evidence that social media itself causes loneliness. The quality and purpose of online interactions matter.
The bottom line: Social media isn't automatically good or bad for your social life. Using it to connect meaningfully with people can help, while constantly comparing yourself with others or using it compulsively may make you feel worse. The goal is not necessarily to spend less time online, but to make that time more meaningful.</t>
        </is>
      </c>
      <c r="J16" s="7" t="n"/>
      <c r="K16" s="7">
        <f>IF(J16="","",IF((J16="met")=(F16="met"),1,0))</f>
        <v/>
      </c>
      <c r="L16" s="7" t="n"/>
    </row>
    <row r="17">
      <c r="A17" s="7" t="n">
        <v>15</v>
      </c>
      <c r="B17" s="7" t="inlineStr">
        <is>
          <t>C4-15</t>
        </is>
      </c>
      <c r="C17" s="7" t="inlineStr">
        <is>
          <t>Will AI replace software engineers?</t>
        </is>
      </c>
      <c r="D17" s="7" t="inlineStr">
        <is>
          <t>AI will replace all programmers within five years.</t>
        </is>
      </c>
      <c r="E17" s="7" t="inlineStr">
        <is>
          <t>SWEEP-ABS ('all', contradicts the answer)</t>
        </is>
      </c>
      <c r="F17" s="7" t="inlineStr">
        <is>
          <t>met</t>
        </is>
      </c>
      <c r="G17" s="7" t="inlineStr">
        <is>
          <t>GiSuN C4 set (written by us)</t>
        </is>
      </c>
      <c r="H17" s="7" t="inlineStr"/>
      <c r="I17" s="8" t="inlineStr">
        <is>
          <t>AI will probably replace some software engineering tasks, but it is unlikely to eliminate the need for software engineers altogether in the near future. The bigger change is that software engineers will increasingly use AI to build software faster, while employers may change the number of engineers they hire and the skills they expect.
Write code for common features and functions.
Find bugs and suggest fixes.
Generate unit tests and documentation.
Explain unfamiliar code and programming libraries.
Build prototypes and simple applications from written instructions.
For example, you could ask an AI tool to create a login page, connect it to a database, and write tests. It may generate much of the initial code—but that doesn't guarantee the application is secure, correct, or ready for real users.
Decide how databases, servers, APIs, and different parts of a system should work together.
Identify why something is broken and determine whether AI-generated code actually works.
Figure out what problem should be solved, which features matter, and what trade-offs are acceptable.
Make sure systems protect user data, handle failures, and behave reliably in real-world situations.
AI can assist with all these tasks, too. The point is that generating code is only one part of building and maintaining reliable software.
3. What does the evidence say about jobs?
The picture is mixed: AI is changing software work, and there are signs that entry-level hiring is becoming more challenging.
Software jobs are still projected to grow. The U.S. Bureau of Labor Statistics projected 15.8% growth in software developer employment from 2024 to 2034 in its July 2026 outlook.
Entry-level candidates may face more competition. A June 2026 study from the Institute of Labor Economics found a 14–15% relative decline in junior software developer vacancies compared with senior vacancies after ChatGPT's release. This is an observed change in job postings, not proof that AI alone caused it.
AI can make experienced engineers more productive. A 2026 study published in Science found increased coding output among experienced developers using AI tools, but did not find statistically significant productivity gains among early-career developers in its dataset.
These findings suggest that the profession isn't simply disappearing, but the path into it may be changing.
4. What should someone studying computer science do?
If you're preparing for a software engineering career, focus on becoming an engineer who can use AI effectively—not someone who can only ask AI to write code.
Learn programming fundamentals. Be comfortable with data structures, algorithms, debugging, and object-oriented programming.
Build complete projects. Learn how to connect a frontend, backend, database, and API into a working application.
Learn system design. Understand how to make applications reliable, secure, and scalable.
Use AI as a tool, not a substitute for understanding. Ask it to explain its code, test your own solutions, and help you investigate bugs. Make sure you can explain and modify the result without relying entirely on AI.
Practice communicating technical decisions. Employers need engineers who can explain trade-offs, work with teammates, and understand user needs.
I wouldn't recommend abandoning software engineering because of AI. I would recommend taking AI seriously and adapting to it. Routine coding may become less valuable on its own, while problem-solving, engineering judgment, and the ability to build dependable systems become increasingly important.
The biggest risk may not be that AI replaces every software engineer. It may be that companies need fewer people for certain tasks and expect each engineer to accomplish more, making it harder for beginners to get their first opportunity. The exact long-term outcome remains uncertain.</t>
        </is>
      </c>
      <c r="J17" s="7" t="n"/>
      <c r="K17" s="7">
        <f>IF(J17="","",IF((J17="met")=(F17="met"),1,0))</f>
        <v/>
      </c>
      <c r="L17" s="7" t="n"/>
    </row>
    <row r="18">
      <c r="A18" s="7" t="n">
        <v>16</v>
      </c>
      <c r="B18" s="7" t="inlineStr">
        <is>
          <t>C4-16</t>
        </is>
      </c>
      <c r="C18" s="7" t="inlineStr">
        <is>
          <t>Do multivitamins work?</t>
        </is>
      </c>
      <c r="D18" s="7" t="inlineStr">
        <is>
          <t>For most healthy adults who eat a balanced diet, multivitamins offer little measurable benefit.</t>
        </is>
      </c>
      <c r="E18" s="7" t="inlineStr">
        <is>
          <t>HEDGED ('most', scoped)</t>
        </is>
      </c>
      <c r="F18" s="7" t="inlineStr">
        <is>
          <t>not_met</t>
        </is>
      </c>
      <c r="G18" s="7" t="inlineStr">
        <is>
          <t>GiSuN C4 set (written by us)</t>
        </is>
      </c>
      <c r="H18" s="7" t="inlineStr"/>
      <c r="I18" s="8" t="inlineStr">
        <is>
          <t>2. Do multivitamins actually work?
Sometimes, but they are not a magic solution for better health.
Research from the U.S. Preventive Services Task Force found insufficient evidence to determine whether multivitamins prevent heart disease or cancer in generally healthy adults. Most studies have found little or no effect on preventing these diseases or extending life.
When can multivitamins help?
Nutrient deficiencies: They can help when your diet does not provide enough of certain vitamins or minerals.
Restricted diets: People who avoid certain food groups may need supplements to fill nutritional gaps.
Specific life stages or medical needs: Some people benefit from particular supplements, depending on their circumstances.
Are there any risks?
Yes. Taking excessive amounts of certain vitamins can be harmful, and some supplements can interact with medications. More is not necessarily better.
A balanced diet is generally the best foundation for getting essential nutrients. Multivitamins can help fill specific gaps, but taking them every day does not guarantee that you will be healthier or live longer.
The key takeaway: Take vitamins to address a nutritional need, rather than assuming that more vitamins automatically mean better health.</t>
        </is>
      </c>
      <c r="J18" s="7" t="n"/>
      <c r="K18" s="7">
        <f>IF(J18="","",IF((J18="met")=(F18="met"),1,0))</f>
        <v/>
      </c>
      <c r="L18" s="7" t="n"/>
    </row>
  </sheetData>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40" customWidth="1" min="3" max="3"/>
    <col width="60" customWidth="1" min="4" max="4"/>
    <col width="24" customWidth="1" min="5" max="5"/>
    <col width="10" customWidth="1" min="6" max="6"/>
    <col width="16" customWidth="1" min="7" max="7"/>
    <col width="18" customWidth="1" min="8" max="8"/>
    <col width="50" customWidth="1" min="9" max="9"/>
    <col width="12" customWidth="1" min="10" max="10"/>
    <col width="9" customWidth="1" min="11" max="11"/>
    <col width="26" customWidth="1" min="12" max="12"/>
  </cols>
  <sheetData>
    <row r="1">
      <c r="A1" s="3" t="inlineStr">
        <is>
          <t>C5: 'Experts say' instead of a named source?</t>
        </is>
      </c>
      <c r="B1" s="4" t="n"/>
      <c r="C1" s="4" t="n"/>
      <c r="D1" s="4" t="n"/>
      <c r="E1" s="4" t="n"/>
      <c r="F1" s="4" t="n"/>
      <c r="G1" s="4" t="n"/>
      <c r="H1" s="4" t="n"/>
      <c r="I1" s="4" t="n"/>
      <c r="J1" s="4" t="n"/>
      <c r="K1" s="4" t="n"/>
      <c r="L1" s="5" t="n"/>
    </row>
    <row r="2">
      <c r="A2" s="6" t="inlineStr">
        <is>
          <t>#</t>
        </is>
      </c>
      <c r="B2" s="6" t="inlineStr">
        <is>
          <t>ID</t>
        </is>
      </c>
      <c r="C2" s="6" t="inlineStr">
        <is>
          <t>Question to ask ChatGPT</t>
        </is>
      </c>
      <c r="D2" s="6" t="inlineStr">
        <is>
          <t>Dataset sentence (to insert)</t>
        </is>
      </c>
      <c r="E2" s="6" t="inlineStr">
        <is>
          <t>Their label</t>
        </is>
      </c>
      <c r="F2" s="6" t="inlineStr">
        <is>
          <t>Expected</t>
        </is>
      </c>
      <c r="G2" s="6" t="inlineStr">
        <is>
          <t>Dataset</t>
        </is>
      </c>
      <c r="H2" s="6" t="inlineStr">
        <is>
          <t>Source / context</t>
        </is>
      </c>
      <c r="I2" s="6" t="inlineStr">
        <is>
          <t>ChatGPT answer (paste)</t>
        </is>
      </c>
      <c r="J2" s="6" t="inlineStr">
        <is>
          <t>Agent decision</t>
        </is>
      </c>
      <c r="K2" s="6" t="inlineStr">
        <is>
          <t>Correct?</t>
        </is>
      </c>
      <c r="L2" s="6" t="inlineStr">
        <is>
          <t>Notes</t>
        </is>
      </c>
    </row>
    <row r="3">
      <c r="A3" s="7" t="n">
        <v>1</v>
      </c>
      <c r="B3" s="7" t="inlineStr">
        <is>
          <t>C5-01</t>
        </is>
      </c>
      <c r="C3" s="7" t="inlineStr">
        <is>
          <t>What are the murals of Manuel Eugenikos known for?</t>
        </is>
      </c>
      <c r="D3" s="7" t="inlineStr">
        <is>
          <t>Eugenicus’s murals are regarded as one of the best examples of the late Paleologian art.</t>
        </is>
      </c>
      <c r="E3" s="7" t="inlineStr">
        <is>
          <t>belief cue, no named source (our approximation)</t>
        </is>
      </c>
      <c r="F3" s="7" t="inlineStr">
        <is>
          <t>met</t>
        </is>
      </c>
      <c r="G3" s="7" t="inlineStr">
        <is>
          <t>Szeged (CoNLL-2010 Wikipedia)</t>
        </is>
      </c>
      <c r="H3" s="7" t="inlineStr"/>
      <c r="I3" s="8" t="n"/>
      <c r="J3" s="7" t="n"/>
      <c r="K3" s="7">
        <f>IF(J3="","",IF((J3="met")=(F3="met"),1,0))</f>
        <v/>
      </c>
      <c r="L3" s="7" t="n"/>
    </row>
    <row r="4">
      <c r="A4" s="7" t="n">
        <v>2</v>
      </c>
      <c r="B4" s="7" t="inlineStr">
        <is>
          <t>C5-02</t>
        </is>
      </c>
      <c r="C4" s="7" t="inlineStr">
        <is>
          <t>Is the moss Polytrichum commune really a non-vascular plant?</t>
        </is>
      </c>
      <c r="D4" s="7" t="inlineStr">
        <is>
          <t>While mosses are considered non-vascular plants, 'Polytrichum commune' shows clear differentiation of water conducting tissue.</t>
        </is>
      </c>
      <c r="E4" s="7" t="inlineStr">
        <is>
          <t>belief cue, no named source (our approximation)</t>
        </is>
      </c>
      <c r="F4" s="7" t="inlineStr">
        <is>
          <t>met</t>
        </is>
      </c>
      <c r="G4" s="7" t="inlineStr">
        <is>
          <t>Szeged (CoNLL-2010 Wikipedia)</t>
        </is>
      </c>
      <c r="H4" s="7" t="inlineStr"/>
      <c r="I4" s="8" t="n"/>
      <c r="J4" s="7" t="n"/>
      <c r="K4" s="7">
        <f>IF(J4="","",IF((J4="met")=(F4="met"),1,0))</f>
        <v/>
      </c>
      <c r="L4" s="7" t="n"/>
    </row>
    <row r="5">
      <c r="A5" s="7" t="n">
        <v>3</v>
      </c>
      <c r="B5" s="7" t="inlineStr">
        <is>
          <t>C5-03</t>
        </is>
      </c>
      <c r="C5" s="7" t="inlineStr">
        <is>
          <t>Why do some neo-soul artists dislike being called neo-soul?</t>
        </is>
      </c>
      <c r="D5" s="7" t="inlineStr">
        <is>
          <t>Many musicians who create what is considered "neo-soul" prefer to disassociate themselves from the tag, due to the term's buzzword-like usage.</t>
        </is>
      </c>
      <c r="E5" s="7" t="inlineStr">
        <is>
          <t>belief cue, no named source (our approximation)</t>
        </is>
      </c>
      <c r="F5" s="7" t="inlineStr">
        <is>
          <t>met</t>
        </is>
      </c>
      <c r="G5" s="7" t="inlineStr">
        <is>
          <t>Szeged (CoNLL-2010 Wikipedia)</t>
        </is>
      </c>
      <c r="H5" s="7" t="inlineStr"/>
      <c r="I5" s="8" t="n"/>
      <c r="J5" s="7" t="n"/>
      <c r="K5" s="7">
        <f>IF(J5="","",IF((J5="met")=(F5="met"),1,0))</f>
        <v/>
      </c>
      <c r="L5" s="7" t="n"/>
    </row>
    <row r="6">
      <c r="A6" s="7" t="n">
        <v>4</v>
      </c>
      <c r="B6" s="7" t="inlineStr">
        <is>
          <t>C5-04</t>
        </is>
      </c>
      <c r="C6" s="7" t="inlineStr">
        <is>
          <t>What counts as Philadelphia's Main Line?</t>
        </is>
      </c>
      <c r="D6" s="7" t="inlineStr">
        <is>
          <t>Neither, however, is located on the rail line for which the area is named and therefore they may be considered culturally rather than geographically on the Main Line.</t>
        </is>
      </c>
      <c r="E6" s="7" t="inlineStr">
        <is>
          <t>belief cue, no named source (our approximation)</t>
        </is>
      </c>
      <c r="F6" s="7" t="inlineStr">
        <is>
          <t>met</t>
        </is>
      </c>
      <c r="G6" s="7" t="inlineStr">
        <is>
          <t>Szeged (CoNLL-2010 Wikipedia)</t>
        </is>
      </c>
      <c r="H6" s="7" t="inlineStr"/>
      <c r="I6" s="8" t="n"/>
      <c r="J6" s="7" t="n"/>
      <c r="K6" s="7">
        <f>IF(J6="","",IF((J6="met")=(F6="met"),1,0))</f>
        <v/>
      </c>
      <c r="L6" s="7" t="n"/>
    </row>
    <row r="7">
      <c r="A7" s="7" t="n">
        <v>5</v>
      </c>
      <c r="B7" s="7" t="inlineStr">
        <is>
          <t>C5-05</t>
        </is>
      </c>
      <c r="C7" s="7" t="inlineStr">
        <is>
          <t>Do Christian Scientists refuse medical treatment?</t>
        </is>
      </c>
      <c r="D7" s="7" t="inlineStr">
        <is>
          <t>(However, the choice of healing method is regarded as a matter for the individual, and the Christian Science Church exerts no pressure on members to avoid medical treatment if they wish to avail of it as an alternative to Christian Science healing.)</t>
        </is>
      </c>
      <c r="E7" s="7" t="inlineStr">
        <is>
          <t>belief cue, no named source (our approximation)</t>
        </is>
      </c>
      <c r="F7" s="7" t="inlineStr">
        <is>
          <t>met</t>
        </is>
      </c>
      <c r="G7" s="7" t="inlineStr">
        <is>
          <t>Szeged (CoNLL-2010 Wikipedia)</t>
        </is>
      </c>
      <c r="H7" s="7" t="inlineStr"/>
      <c r="I7" s="8" t="n"/>
      <c r="J7" s="7" t="n"/>
      <c r="K7" s="7">
        <f>IF(J7="","",IF((J7="met")=(F7="met"),1,0))</f>
        <v/>
      </c>
      <c r="L7" s="7" t="n"/>
    </row>
    <row r="8">
      <c r="A8" s="7" t="n">
        <v>6</v>
      </c>
      <c r="B8" s="7" t="inlineStr">
        <is>
          <t>C5-06</t>
        </is>
      </c>
      <c r="C8" s="7" t="inlineStr">
        <is>
          <t>Was tin from Dartmoor traded with the Phoenicians?</t>
        </is>
      </c>
      <c r="D8" s="7" t="inlineStr">
        <is>
          <t>It is thought that tin was brought here from Dartmoor via the Plym and traded with the ancient Phoenicians.</t>
        </is>
      </c>
      <c r="E8" s="7" t="inlineStr">
        <is>
          <t>belief cue, no named source (our approximation)</t>
        </is>
      </c>
      <c r="F8" s="7" t="inlineStr">
        <is>
          <t>met</t>
        </is>
      </c>
      <c r="G8" s="7" t="inlineStr">
        <is>
          <t>Szeged (CoNLL-2010 Wikipedia)</t>
        </is>
      </c>
      <c r="H8" s="7" t="inlineStr"/>
      <c r="I8" s="8" t="n"/>
      <c r="J8" s="7" t="n"/>
      <c r="K8" s="7">
        <f>IF(J8="","",IF((J8="met")=(F8="met"),1,0))</f>
        <v/>
      </c>
      <c r="L8" s="7" t="n"/>
    </row>
    <row r="9">
      <c r="A9" s="7" t="n">
        <v>7</v>
      </c>
      <c r="B9" s="7" t="inlineStr">
        <is>
          <t>C5-07</t>
        </is>
      </c>
      <c r="C9" s="7" t="inlineStr">
        <is>
          <t>How much was the settlement in that Canadian lawsuit?</t>
        </is>
      </c>
      <c r="D9" s="7" t="inlineStr">
        <is>
          <t>The settlement's terms were not announced, but were believed to be in the CA$150,000 range.</t>
        </is>
      </c>
      <c r="E9" s="7" t="inlineStr">
        <is>
          <t>belief cue, no named source (our approximation)</t>
        </is>
      </c>
      <c r="F9" s="7" t="inlineStr">
        <is>
          <t>met</t>
        </is>
      </c>
      <c r="G9" s="7" t="inlineStr">
        <is>
          <t>Szeged (CoNLL-2010 Wikipedia)</t>
        </is>
      </c>
      <c r="H9" s="7" t="inlineStr"/>
      <c r="I9" s="8" t="n"/>
      <c r="J9" s="7" t="n"/>
      <c r="K9" s="7">
        <f>IF(J9="","",IF((J9="met")=(F9="met"),1,0))</f>
        <v/>
      </c>
      <c r="L9" s="7" t="n"/>
    </row>
    <row r="10">
      <c r="A10" s="7" t="n">
        <v>8</v>
      </c>
      <c r="B10" s="7" t="inlineStr">
        <is>
          <t>C5-08</t>
        </is>
      </c>
      <c r="C10" s="7" t="inlineStr">
        <is>
          <t>Why are organophosphate pesticides like this one considered neurotoxic?</t>
        </is>
      </c>
      <c r="D10" s="7" t="inlineStr">
        <is>
          <t>Since its toxic effects are due to its activity as a cholinesterase inhibitor it is considered a neurotoxic pesticide.</t>
        </is>
      </c>
      <c r="E10" s="7" t="inlineStr">
        <is>
          <t>belief cue, no named source (our approximation)</t>
        </is>
      </c>
      <c r="F10" s="7" t="inlineStr">
        <is>
          <t>met</t>
        </is>
      </c>
      <c r="G10" s="7" t="inlineStr">
        <is>
          <t>Szeged (CoNLL-2010 Wikipedia)</t>
        </is>
      </c>
      <c r="H10" s="7" t="inlineStr"/>
      <c r="I10" s="8" t="n"/>
      <c r="J10" s="7" t="n"/>
      <c r="K10" s="7">
        <f>IF(J10="","",IF((J10="met")=(F10="met"),1,0))</f>
        <v/>
      </c>
      <c r="L10" s="7" t="n"/>
    </row>
    <row r="11">
      <c r="A11" s="7" t="n">
        <v>9</v>
      </c>
      <c r="B11" s="7" t="inlineStr">
        <is>
          <t>C5-09</t>
        </is>
      </c>
      <c r="C11" s="7" t="inlineStr">
        <is>
          <t>How much military aid did the US give Turkey in the 1990s?</t>
        </is>
      </c>
      <c r="D11" s="7" t="inlineStr">
        <is>
          <t>In fact in the single year 1997, US military aid to Turkey was greater than in the entire period of 1950 to 1983 when there were allegedly Cold War issues.</t>
        </is>
      </c>
      <c r="E11" s="7" t="inlineStr">
        <is>
          <t>belief cue, no named source (our approximation)</t>
        </is>
      </c>
      <c r="F11" s="7" t="inlineStr">
        <is>
          <t>met</t>
        </is>
      </c>
      <c r="G11" s="7" t="inlineStr">
        <is>
          <t>Szeged (CoNLL-2010 Wikipedia)</t>
        </is>
      </c>
      <c r="H11" s="7" t="inlineStr"/>
      <c r="I11" s="8" t="n"/>
      <c r="J11" s="7" t="n"/>
      <c r="K11" s="7">
        <f>IF(J11="","",IF((J11="met")=(F11="met"),1,0))</f>
        <v/>
      </c>
      <c r="L11" s="7" t="n"/>
    </row>
    <row r="12">
      <c r="A12" s="7" t="n">
        <v>10</v>
      </c>
      <c r="B12" s="7" t="inlineStr">
        <is>
          <t>C5-10</t>
        </is>
      </c>
      <c r="C12" s="7" t="inlineStr">
        <is>
          <t>Do psychopaths actually feel emotions?</t>
        </is>
      </c>
      <c r="D12" s="7" t="inlineStr">
        <is>
          <t>It is thought that any emotions which the primary psychopath exhibits are the fruits of watching and mimicking other people's emotions.</t>
        </is>
      </c>
      <c r="E12" s="7" t="inlineStr">
        <is>
          <t>belief cue, no named source (our approximation)</t>
        </is>
      </c>
      <c r="F12" s="7" t="inlineStr">
        <is>
          <t>met</t>
        </is>
      </c>
      <c r="G12" s="7" t="inlineStr">
        <is>
          <t>Szeged (CoNLL-2010 Wikipedia)</t>
        </is>
      </c>
      <c r="H12" s="7" t="inlineStr"/>
      <c r="I12" s="8" t="n"/>
      <c r="J12" s="7" t="n"/>
      <c r="K12" s="7">
        <f>IF(J12="","",IF((J12="met")=(F12="met"),1,0))</f>
        <v/>
      </c>
      <c r="L12" s="7" t="n"/>
    </row>
    <row r="13">
      <c r="A13" s="7" t="n">
        <v>11</v>
      </c>
      <c r="B13" s="7" t="inlineStr">
        <is>
          <t>C5-11</t>
        </is>
      </c>
      <c r="C13" s="7" t="inlineStr">
        <is>
          <t>Why wasn't Cecil offered a college football scholarship out of high school?</t>
        </is>
      </c>
      <c r="D13" s="7" t="inlineStr">
        <is>
          <t>At and (at the time), Cecil was considered too small to be a collegiate star and thus was not offered a scholarship out of high school.</t>
        </is>
      </c>
      <c r="E13" s="7" t="inlineStr">
        <is>
          <t>belief cue, no named source (our approximation)</t>
        </is>
      </c>
      <c r="F13" s="7" t="inlineStr">
        <is>
          <t>met</t>
        </is>
      </c>
      <c r="G13" s="7" t="inlineStr">
        <is>
          <t>Szeged (CoNLL-2010 Wikipedia)</t>
        </is>
      </c>
      <c r="H13" s="7" t="inlineStr"/>
      <c r="I13" s="8" t="n"/>
      <c r="J13" s="7" t="n"/>
      <c r="K13" s="7">
        <f>IF(J13="","",IF((J13="met")=(F13="met"),1,0))</f>
        <v/>
      </c>
      <c r="L13" s="7" t="n"/>
    </row>
    <row r="14">
      <c r="A14" s="7" t="n">
        <v>12</v>
      </c>
      <c r="B14" s="7" t="inlineStr">
        <is>
          <t>C5-12</t>
        </is>
      </c>
      <c r="C14" s="7" t="inlineStr">
        <is>
          <t>Is there an English translation of Hallgrímur Pétursson's Passion Hymns?</t>
        </is>
      </c>
      <c r="D14" s="7" t="inlineStr">
        <is>
          <t>In addition, a selection of texts were translated by Anglican Bishop Charles Venn Pilcher and published in a pamphlet entitled "Thirty-One Meditations on Christ's Passion"; this translation, although incomplete, is regarded as more true to the Lutheran theology of Hallgrímur Pétursson.</t>
        </is>
      </c>
      <c r="E14" s="7" t="inlineStr">
        <is>
          <t>belief cue, no named source (our approximation)</t>
        </is>
      </c>
      <c r="F14" s="7" t="inlineStr">
        <is>
          <t>met</t>
        </is>
      </c>
      <c r="G14" s="7" t="inlineStr">
        <is>
          <t>Szeged (CoNLL-2010 Wikipedia)</t>
        </is>
      </c>
      <c r="H14" s="7" t="inlineStr"/>
      <c r="I14" s="8" t="n"/>
      <c r="J14" s="7" t="n"/>
      <c r="K14" s="7">
        <f>IF(J14="","",IF((J14="met")=(F14="met"),1,0))</f>
        <v/>
      </c>
      <c r="L14" s="7" t="n"/>
    </row>
    <row r="15">
      <c r="A15" s="7" t="n">
        <v>13</v>
      </c>
      <c r="B15" s="7" t="inlineStr">
        <is>
          <t>C5-13</t>
        </is>
      </c>
      <c r="C15" s="7" t="inlineStr">
        <is>
          <t>Did choosing Joe Lieberman as running mate help Al Gore with Jewish voters in 2000?</t>
        </is>
      </c>
      <c r="D15" s="7" t="inlineStr">
        <is>
          <t>While it can be said that Lieberman invited support from the Jewish population, many believe it would not have made a difference if a Gentile was selected as Gore's running mate, as Jews historically have favored the Democrats.</t>
        </is>
      </c>
      <c r="E15" s="7" t="inlineStr">
        <is>
          <t>belief cue, no named source (our approximation)</t>
        </is>
      </c>
      <c r="F15" s="7" t="inlineStr">
        <is>
          <t>met</t>
        </is>
      </c>
      <c r="G15" s="7" t="inlineStr">
        <is>
          <t>Szeged (CoNLL-2010 Wikipedia)</t>
        </is>
      </c>
      <c r="H15" s="7" t="inlineStr"/>
      <c r="I15" s="8" t="n"/>
      <c r="J15" s="7" t="n"/>
      <c r="K15" s="7">
        <f>IF(J15="","",IF((J15="met")=(F15="met"),1,0))</f>
        <v/>
      </c>
      <c r="L15" s="7" t="n"/>
    </row>
    <row r="16">
      <c r="A16" s="7" t="n">
        <v>14</v>
      </c>
      <c r="B16" s="7" t="inlineStr">
        <is>
          <t>C5-14</t>
        </is>
      </c>
      <c r="C16" s="7" t="inlineStr">
        <is>
          <t>Can eating poppy seeds make you fail a drug test?</t>
        </is>
      </c>
      <c r="D16" s="7" t="inlineStr">
        <is>
          <t>Therefore it is possible to cross the current standard 2,000 ng/mL limit of detection, depending on seed potency and quantity ingested.</t>
        </is>
      </c>
      <c r="E16" s="7" t="inlineStr">
        <is>
          <t>no uncertainty cue</t>
        </is>
      </c>
      <c r="F16" s="7" t="inlineStr">
        <is>
          <t>not_met</t>
        </is>
      </c>
      <c r="G16" s="7" t="inlineStr">
        <is>
          <t>Szeged (CoNLL-2010 Wikipedia)</t>
        </is>
      </c>
      <c r="H16" s="7" t="inlineStr"/>
      <c r="I16" s="8" t="n"/>
      <c r="J16" s="7" t="n"/>
      <c r="K16" s="7">
        <f>IF(J16="","",IF((J16="met")=(F16="met"),1,0))</f>
        <v/>
      </c>
      <c r="L16" s="7" t="n"/>
    </row>
    <row r="17">
      <c r="A17" s="7" t="n">
        <v>15</v>
      </c>
      <c r="B17" s="7" t="inlineStr">
        <is>
          <t>C5-15</t>
        </is>
      </c>
      <c r="C17" s="7" t="inlineStr">
        <is>
          <t>When did Sinn Féin start winning seats in the Republic of Ireland?</t>
        </is>
      </c>
      <c r="D17" s="7" t="inlineStr">
        <is>
          <t>They did not make significant electoral gains in the Republic until after the IRA ceasefires and the Belfast Agreement of 1998.</t>
        </is>
      </c>
      <c r="E17" s="7" t="inlineStr">
        <is>
          <t>no uncertainty cue</t>
        </is>
      </c>
      <c r="F17" s="7" t="inlineStr">
        <is>
          <t>not_met</t>
        </is>
      </c>
      <c r="G17" s="7" t="inlineStr">
        <is>
          <t>Szeged (CoNLL-2010 Wikipedia)</t>
        </is>
      </c>
      <c r="H17" s="7" t="inlineStr"/>
      <c r="I17" s="8" t="n"/>
      <c r="J17" s="7" t="n"/>
      <c r="K17" s="7">
        <f>IF(J17="","",IF((J17="met")=(F17="met"),1,0))</f>
        <v/>
      </c>
      <c r="L17" s="7" t="n"/>
    </row>
    <row r="18">
      <c r="A18" s="7" t="n">
        <v>16</v>
      </c>
      <c r="B18" s="7" t="inlineStr">
        <is>
          <t>C5-16</t>
        </is>
      </c>
      <c r="C18" s="7" t="inlineStr">
        <is>
          <t>What does the Water Survey of Canada do?</t>
        </is>
      </c>
      <c r="D18" s="7" t="inlineStr">
        <is>
          <t>Data developed by the WSC is used for water resource management purposes in various policy programs by federal, provincial and municipal governments.</t>
        </is>
      </c>
      <c r="E18" s="7" t="inlineStr">
        <is>
          <t>no uncertainty cue</t>
        </is>
      </c>
      <c r="F18" s="7" t="inlineStr">
        <is>
          <t>not_met</t>
        </is>
      </c>
      <c r="G18" s="7" t="inlineStr">
        <is>
          <t>Szeged (CoNLL-2010 Wikipedia)</t>
        </is>
      </c>
      <c r="H18" s="7" t="inlineStr"/>
      <c r="I18" s="8" t="n"/>
      <c r="J18" s="7" t="n"/>
      <c r="K18" s="7">
        <f>IF(J18="","",IF((J18="met")=(F18="met"),1,0))</f>
        <v/>
      </c>
      <c r="L18" s="7" t="n"/>
    </row>
    <row r="19">
      <c r="A19" s="7" t="n">
        <v>17</v>
      </c>
      <c r="B19" s="7" t="inlineStr">
        <is>
          <t>C5-17</t>
        </is>
      </c>
      <c r="C19" s="7" t="inlineStr">
        <is>
          <t>What was the camera obscura lamp experiment, and why did it matter?</t>
        </is>
      </c>
      <c r="D19" s="7" t="inlineStr">
        <is>
          <t>His lamp experiment, where several different light sources are arranged across a large area, is the first successful projection of an entire image from outdoors onto a screen indoors with the 'camera obscura'.</t>
        </is>
      </c>
      <c r="E19" s="7" t="inlineStr">
        <is>
          <t>no uncertainty cue</t>
        </is>
      </c>
      <c r="F19" s="7" t="inlineStr">
        <is>
          <t>not_met</t>
        </is>
      </c>
      <c r="G19" s="7" t="inlineStr">
        <is>
          <t>Szeged (CoNLL-2010 Wikipedia)</t>
        </is>
      </c>
      <c r="H19" s="7" t="inlineStr"/>
      <c r="I19" s="8" t="n"/>
      <c r="J19" s="7" t="n"/>
      <c r="K19" s="7">
        <f>IF(J19="","",IF((J19="met")=(F19="met"),1,0))</f>
        <v/>
      </c>
      <c r="L19" s="7" t="n"/>
    </row>
    <row r="20">
      <c r="A20" s="7" t="n">
        <v>18</v>
      </c>
      <c r="B20" s="7" t="inlineStr">
        <is>
          <t>C5-18</t>
        </is>
      </c>
      <c r="C20" s="7" t="inlineStr">
        <is>
          <t>Who led North Korea in the 2000s?</t>
        </is>
      </c>
      <c r="D20" s="7" t="inlineStr">
        <is>
          <t>The current leader is Kim Jong-il, the late president Kim Il-sung's son.</t>
        </is>
      </c>
      <c r="E20" s="7" t="inlineStr">
        <is>
          <t>no uncertainty cue</t>
        </is>
      </c>
      <c r="F20" s="7" t="inlineStr">
        <is>
          <t>not_met</t>
        </is>
      </c>
      <c r="G20" s="7" t="inlineStr">
        <is>
          <t>Szeged (CoNLL-2010 Wikipedia)</t>
        </is>
      </c>
      <c r="H20" s="7" t="inlineStr"/>
      <c r="I20" s="8" t="n"/>
      <c r="J20" s="7" t="n"/>
      <c r="K20" s="7">
        <f>IF(J20="","",IF((J20="met")=(F20="met"),1,0))</f>
        <v/>
      </c>
      <c r="L20" s="7" t="n"/>
    </row>
    <row r="21">
      <c r="A21" s="7" t="n">
        <v>19</v>
      </c>
      <c r="B21" s="7" t="inlineStr">
        <is>
          <t>C5-19</t>
        </is>
      </c>
      <c r="C21" s="7" t="inlineStr">
        <is>
          <t>How is picric acid made from benzene?</t>
        </is>
      </c>
      <c r="D21" s="7" t="inlineStr">
        <is>
          <t>In the Wolfenstein-Boters reaction, benzene reacts with nitric acid and mercury nitrate to give picric acid.</t>
        </is>
      </c>
      <c r="E21" s="7" t="inlineStr">
        <is>
          <t>no uncertainty cue</t>
        </is>
      </c>
      <c r="F21" s="7" t="inlineStr">
        <is>
          <t>not_met</t>
        </is>
      </c>
      <c r="G21" s="7" t="inlineStr">
        <is>
          <t>Szeged (CoNLL-2010 Wikipedia)</t>
        </is>
      </c>
      <c r="H21" s="7" t="inlineStr"/>
      <c r="I21" s="8" t="n"/>
      <c r="J21" s="7" t="n"/>
      <c r="K21" s="7">
        <f>IF(J21="","",IF((J21="met")=(F21="met"),1,0))</f>
        <v/>
      </c>
      <c r="L21" s="7" t="n"/>
    </row>
    <row r="22">
      <c r="A22" s="7" t="n">
        <v>20</v>
      </c>
      <c r="B22" s="7" t="inlineStr">
        <is>
          <t>C5-20</t>
        </is>
      </c>
      <c r="C22" s="7" t="inlineStr">
        <is>
          <t>What is a zero-sum game? Can you give a simple example?</t>
        </is>
      </c>
      <c r="D22" s="7" t="inlineStr">
        <is>
          <t>Cutting a cake is zero- or constant-sum, because taking a larger piece reduces the amount of cake available for others.</t>
        </is>
      </c>
      <c r="E22" s="7" t="inlineStr">
        <is>
          <t>no uncertainty cue</t>
        </is>
      </c>
      <c r="F22" s="7" t="inlineStr">
        <is>
          <t>not_met</t>
        </is>
      </c>
      <c r="G22" s="7" t="inlineStr">
        <is>
          <t>Szeged (CoNLL-2010 Wikipedia)</t>
        </is>
      </c>
      <c r="H22" s="7" t="inlineStr"/>
      <c r="I22" s="8" t="n"/>
      <c r="J22" s="7" t="n"/>
      <c r="K22" s="7">
        <f>IF(J22="","",IF((J22="met")=(F22="met"),1,0))</f>
        <v/>
      </c>
      <c r="L22" s="7" t="n"/>
    </row>
    <row r="23">
      <c r="A23" s="7" t="n">
        <v>21</v>
      </c>
      <c r="B23" s="7" t="inlineStr">
        <is>
          <t>C5-21</t>
        </is>
      </c>
      <c r="C23" s="7" t="inlineStr">
        <is>
          <t>What are metal pipes usually made of?</t>
        </is>
      </c>
      <c r="D23" s="7" t="inlineStr">
        <is>
          <t>Metallic pipes are commonly made from steel or iron; the metal chemistry and its finish are peculiar to the use fit and form.</t>
        </is>
      </c>
      <c r="E23" s="7" t="inlineStr">
        <is>
          <t>no uncertainty cue</t>
        </is>
      </c>
      <c r="F23" s="7" t="inlineStr">
        <is>
          <t>not_met</t>
        </is>
      </c>
      <c r="G23" s="7" t="inlineStr">
        <is>
          <t>Szeged (CoNLL-2010 Wikipedia)</t>
        </is>
      </c>
      <c r="H23" s="7" t="inlineStr"/>
      <c r="I23" s="8" t="n"/>
      <c r="J23" s="7" t="n"/>
      <c r="K23" s="7">
        <f>IF(J23="","",IF((J23="met")=(F23="met"),1,0))</f>
        <v/>
      </c>
      <c r="L23" s="7" t="n"/>
    </row>
    <row r="24">
      <c r="A24" s="7" t="n">
        <v>22</v>
      </c>
      <c r="B24" s="7" t="inlineStr">
        <is>
          <t>C5-22</t>
        </is>
      </c>
      <c r="C24" s="7" t="inlineStr">
        <is>
          <t>How far back do experiments on human subjects with chemical agents go?</t>
        </is>
      </c>
      <c r="D24" s="7" t="inlineStr">
        <is>
          <t>Experiments on human subjects utilizing such agents goes back to at least World War I.</t>
        </is>
      </c>
      <c r="E24" s="7" t="inlineStr">
        <is>
          <t>no uncertainty cue</t>
        </is>
      </c>
      <c r="F24" s="7" t="inlineStr">
        <is>
          <t>not_met</t>
        </is>
      </c>
      <c r="G24" s="7" t="inlineStr">
        <is>
          <t>Szeged (CoNLL-2010 Wikipedia)</t>
        </is>
      </c>
      <c r="H24" s="7" t="inlineStr"/>
      <c r="I24" s="8" t="n"/>
      <c r="J24" s="7" t="n"/>
      <c r="K24" s="7">
        <f>IF(J24="","",IF((J24="met")=(F24="met"),1,0))</f>
        <v/>
      </c>
      <c r="L24" s="7" t="n"/>
    </row>
    <row r="25">
      <c r="A25" s="7" t="n">
        <v>23</v>
      </c>
      <c r="B25" s="7" t="inlineStr">
        <is>
          <t>C5-23</t>
        </is>
      </c>
      <c r="C25" s="7" t="inlineStr">
        <is>
          <t>How many public universities does Bangladesh have?</t>
        </is>
      </c>
      <c r="D25" s="7" t="inlineStr">
        <is>
          <t>Bangladesh has 31 public universities instructing the bulk of higher studies students, especially from disadvantaged classes.</t>
        </is>
      </c>
      <c r="E25" s="7" t="inlineStr">
        <is>
          <t>no uncertainty cue</t>
        </is>
      </c>
      <c r="F25" s="7" t="inlineStr">
        <is>
          <t>not_met</t>
        </is>
      </c>
      <c r="G25" s="7" t="inlineStr">
        <is>
          <t>Szeged (CoNLL-2010 Wikipedia)</t>
        </is>
      </c>
      <c r="H25" s="7" t="inlineStr"/>
      <c r="I25" s="8" t="n"/>
      <c r="J25" s="7" t="n"/>
      <c r="K25" s="7">
        <f>IF(J25="","",IF((J25="met")=(F25="met"),1,0))</f>
        <v/>
      </c>
      <c r="L25" s="7" t="n"/>
    </row>
    <row r="26">
      <c r="A26" s="7" t="n">
        <v>24</v>
      </c>
      <c r="B26" s="7" t="inlineStr">
        <is>
          <t>C5-24</t>
        </is>
      </c>
      <c r="C26" s="7" t="inlineStr">
        <is>
          <t>What is the Detroit Institute of Arts known for?</t>
        </is>
      </c>
      <c r="D26" s="7" t="inlineStr">
        <is>
          <t>The 'Detroit Institute of Arts' ('DIA'), originally named the 'Detroit Museum of Art', has one of the largest, most significant art collections in the United States.</t>
        </is>
      </c>
      <c r="E26" s="7" t="inlineStr">
        <is>
          <t>no uncertainty cue</t>
        </is>
      </c>
      <c r="F26" s="7" t="inlineStr">
        <is>
          <t>not_met</t>
        </is>
      </c>
      <c r="G26" s="7" t="inlineStr">
        <is>
          <t>Szeged (CoNLL-2010 Wikipedia)</t>
        </is>
      </c>
      <c r="H26" s="7" t="inlineStr"/>
      <c r="I26" s="8" t="n"/>
      <c r="J26" s="7" t="n"/>
      <c r="K26" s="7">
        <f>IF(J26="","",IF((J26="met")=(F26="met"),1,0))</f>
        <v/>
      </c>
      <c r="L26" s="7" t="n"/>
    </row>
    <row r="27">
      <c r="A27" s="7" t="n">
        <v>25</v>
      </c>
      <c r="B27" s="7" t="inlineStr">
        <is>
          <t>C5-25</t>
        </is>
      </c>
      <c r="C27" s="7" t="inlineStr">
        <is>
          <t>Why does English borrow so many words from other languages?</t>
        </is>
      </c>
      <c r="D27" s="7" t="inlineStr">
        <is>
          <t>English easily accepts technical terms into common usage and imports new words and phrases that often come into common usage.</t>
        </is>
      </c>
      <c r="E27" s="7" t="inlineStr">
        <is>
          <t>no uncertainty cue</t>
        </is>
      </c>
      <c r="F27" s="7" t="inlineStr">
        <is>
          <t>not_met</t>
        </is>
      </c>
      <c r="G27" s="7" t="inlineStr">
        <is>
          <t>Szeged (CoNLL-2010 Wikipedia)</t>
        </is>
      </c>
      <c r="H27" s="7" t="inlineStr"/>
      <c r="I27" s="8" t="n"/>
      <c r="J27" s="7" t="n"/>
      <c r="K27" s="7">
        <f>IF(J27="","",IF((J27="met")=(F27="met"),1,0))</f>
        <v/>
      </c>
      <c r="L27" s="7" t="n"/>
    </row>
  </sheetData>
  <mergeCells count="1">
    <mergeCell ref="A1:L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40" customWidth="1" min="3" max="3"/>
    <col width="60" customWidth="1" min="4" max="4"/>
    <col width="24" customWidth="1" min="5" max="5"/>
    <col width="10" customWidth="1" min="6" max="6"/>
    <col width="16" customWidth="1" min="7" max="7"/>
    <col width="18" customWidth="1" min="8" max="8"/>
    <col width="50" customWidth="1" min="9" max="9"/>
    <col width="12" customWidth="1" min="10" max="10"/>
    <col width="9" customWidth="1" min="11" max="11"/>
    <col width="26" customWidth="1" min="12" max="12"/>
  </cols>
  <sheetData>
    <row r="1">
      <c r="A1" s="3" t="inlineStr">
        <is>
          <t>C6: Cause-and-effect stated without evidence?</t>
        </is>
      </c>
      <c r="B1" s="4" t="n"/>
      <c r="C1" s="4" t="n"/>
      <c r="D1" s="4" t="n"/>
      <c r="E1" s="4" t="n"/>
      <c r="F1" s="4" t="n"/>
      <c r="G1" s="4" t="n"/>
      <c r="H1" s="4" t="n"/>
      <c r="I1" s="4" t="n"/>
      <c r="J1" s="4" t="n"/>
      <c r="K1" s="4" t="n"/>
      <c r="L1" s="5" t="n"/>
    </row>
    <row r="2">
      <c r="A2" s="6" t="inlineStr">
        <is>
          <t>#</t>
        </is>
      </c>
      <c r="B2" s="6" t="inlineStr">
        <is>
          <t>ID</t>
        </is>
      </c>
      <c r="C2" s="6" t="inlineStr">
        <is>
          <t>Question to ask ChatGPT</t>
        </is>
      </c>
      <c r="D2" s="6" t="inlineStr">
        <is>
          <t>Dataset sentence (to insert)</t>
        </is>
      </c>
      <c r="E2" s="6" t="inlineStr">
        <is>
          <t>Their label</t>
        </is>
      </c>
      <c r="F2" s="6" t="inlineStr">
        <is>
          <t>Expected</t>
        </is>
      </c>
      <c r="G2" s="6" t="inlineStr">
        <is>
          <t>Dataset</t>
        </is>
      </c>
      <c r="H2" s="6" t="inlineStr">
        <is>
          <t>Source / context</t>
        </is>
      </c>
      <c r="I2" s="6" t="inlineStr">
        <is>
          <t>ChatGPT answer (paste)</t>
        </is>
      </c>
      <c r="J2" s="6" t="inlineStr">
        <is>
          <t>Agent decision</t>
        </is>
      </c>
      <c r="K2" s="6" t="inlineStr">
        <is>
          <t>Correct?</t>
        </is>
      </c>
      <c r="L2" s="6" t="inlineStr">
        <is>
          <t>Notes</t>
        </is>
      </c>
    </row>
    <row r="3">
      <c r="A3" s="7" t="n">
        <v>1</v>
      </c>
      <c r="B3" s="7" t="inlineStr">
        <is>
          <t>C6-01</t>
        </is>
      </c>
      <c r="C3" s="7" t="inlineStr">
        <is>
          <t>Should women with PIP breast implants have them removed?</t>
        </is>
      </c>
      <c r="D3" s="7" t="inlineStr">
        <is>
          <t>As PIP&amp;Rofil implants showed shorter retention periods until rupture and ruptured implants can cause symptoms or health problems, PIP&amp;Rofil implants should be regularly monitored and explanted if there is evidence of rupture.</t>
        </is>
      </c>
      <c r="E3" s="7" t="inlineStr">
        <is>
          <t>direct causal</t>
        </is>
      </c>
      <c r="F3" s="7" t="inlineStr">
        <is>
          <t>met</t>
        </is>
      </c>
      <c r="G3" s="7" t="inlineStr">
        <is>
          <t>Yu et al. 2019 (PubMed)</t>
        </is>
      </c>
      <c r="H3" s="7" t="inlineStr"/>
      <c r="I3" s="8" t="n"/>
      <c r="J3" s="7" t="n"/>
      <c r="K3" s="7">
        <f>IF(J3="","",IF((J3="met")=(F3="met"),1,0))</f>
        <v/>
      </c>
      <c r="L3" s="7" t="n"/>
    </row>
    <row r="4">
      <c r="A4" s="7" t="n">
        <v>2</v>
      </c>
      <c r="B4" s="7" t="inlineStr">
        <is>
          <t>C6-02</t>
        </is>
      </c>
      <c r="C4" s="7" t="inlineStr">
        <is>
          <t>Why was the cholesterol drug bococizumab discontinued?</t>
        </is>
      </c>
      <c r="D4" s="7" t="inlineStr">
        <is>
          <t>In six multinational trials evaluating bococizumab, antidrug antibodies developed in a large proportion of the patients and significantly attenuated the lowering of LDL cholesterol levels.</t>
        </is>
      </c>
      <c r="E4" s="7" t="inlineStr">
        <is>
          <t>direct causal</t>
        </is>
      </c>
      <c r="F4" s="7" t="inlineStr">
        <is>
          <t>met</t>
        </is>
      </c>
      <c r="G4" s="7" t="inlineStr">
        <is>
          <t>Yu et al. 2019 (PubMed)</t>
        </is>
      </c>
      <c r="H4" s="7" t="inlineStr"/>
      <c r="I4" s="8" t="n"/>
      <c r="J4" s="7" t="n"/>
      <c r="K4" s="7">
        <f>IF(J4="","",IF((J4="met")=(F4="met"),1,0))</f>
        <v/>
      </c>
      <c r="L4" s="7" t="n"/>
    </row>
    <row r="5">
      <c r="A5" s="7" t="n">
        <v>3</v>
      </c>
      <c r="B5" s="7" t="inlineStr">
        <is>
          <t>C6-03</t>
        </is>
      </c>
      <c r="C5" s="7" t="inlineStr">
        <is>
          <t>Can teaching caregivers parenting techniques improve children's cognitive development in Uganda?</t>
        </is>
      </c>
      <c r="D5" s="7" t="inlineStr">
        <is>
          <t>MISC was effective in teaching Ugandan caregivers to enhance their childrens cognitive development through practical and sustainable techniques applied during daily interactions in the home.</t>
        </is>
      </c>
      <c r="E5" s="7" t="inlineStr">
        <is>
          <t>direct causal</t>
        </is>
      </c>
      <c r="F5" s="7" t="inlineStr">
        <is>
          <t>met</t>
        </is>
      </c>
      <c r="G5" s="7" t="inlineStr">
        <is>
          <t>Yu et al. 2019 (PubMed)</t>
        </is>
      </c>
      <c r="H5" s="7" t="inlineStr"/>
      <c r="I5" s="8" t="n"/>
      <c r="J5" s="7" t="n"/>
      <c r="K5" s="7">
        <f>IF(J5="","",IF((J5="met")=(F5="met"),1,0))</f>
        <v/>
      </c>
      <c r="L5" s="7" t="n"/>
    </row>
    <row r="6">
      <c r="A6" s="7" t="n">
        <v>4</v>
      </c>
      <c r="B6" s="7" t="inlineStr">
        <is>
          <t>C6-04</t>
        </is>
      </c>
      <c r="C6" s="7" t="inlineStr">
        <is>
          <t>What causes cognitive decline in cancer patients during treatment?</t>
        </is>
      </c>
      <c r="D6" s="7" t="inlineStr">
        <is>
          <t>Thus, treatment-related factors such as fatigue had a greater impact on cognitive decline than psychological factors.</t>
        </is>
      </c>
      <c r="E6" s="7" t="inlineStr">
        <is>
          <t>direct causal</t>
        </is>
      </c>
      <c r="F6" s="7" t="inlineStr">
        <is>
          <t>met</t>
        </is>
      </c>
      <c r="G6" s="7" t="inlineStr">
        <is>
          <t>Yu et al. 2019 (PubMed)</t>
        </is>
      </c>
      <c r="H6" s="7" t="inlineStr"/>
      <c r="I6" s="8" t="n"/>
      <c r="J6" s="7" t="n"/>
      <c r="K6" s="7">
        <f>IF(J6="","",IF((J6="met")=(F6="met"),1,0))</f>
        <v/>
      </c>
      <c r="L6" s="7" t="n"/>
    </row>
    <row r="7">
      <c r="A7" s="7" t="n">
        <v>5</v>
      </c>
      <c r="B7" s="7" t="inlineStr">
        <is>
          <t>C6-05</t>
        </is>
      </c>
      <c r="C7" s="7" t="inlineStr">
        <is>
          <t>How does a Charcot foot wound affect the risk of amputation in people with diabetes?</t>
        </is>
      </c>
      <c r="D7" s="7" t="inlineStr">
        <is>
          <t>The presence of a Charcot-related foot wound at presentation increased the likelihood of a major lower extremity amputation by a factor of 6.</t>
        </is>
      </c>
      <c r="E7" s="7" t="inlineStr">
        <is>
          <t>direct causal</t>
        </is>
      </c>
      <c r="F7" s="7" t="inlineStr">
        <is>
          <t>met</t>
        </is>
      </c>
      <c r="G7" s="7" t="inlineStr">
        <is>
          <t>Yu et al. 2019 (PubMed)</t>
        </is>
      </c>
      <c r="H7" s="7" t="inlineStr"/>
      <c r="I7" s="8" t="n"/>
      <c r="J7" s="7" t="n"/>
      <c r="K7" s="7">
        <f>IF(J7="","",IF((J7="met")=(F7="met"),1,0))</f>
        <v/>
      </c>
      <c r="L7" s="7" t="n"/>
    </row>
    <row r="8">
      <c r="A8" s="7" t="n">
        <v>6</v>
      </c>
      <c r="B8" s="7" t="inlineStr">
        <is>
          <t>C6-06</t>
        </is>
      </c>
      <c r="C8" s="7" t="inlineStr">
        <is>
          <t>Does body contouring surgery after massive weight loss improve quality of life?</t>
        </is>
      </c>
      <c r="D8" s="7" t="inlineStr">
        <is>
          <t>The quality of life of these patients, after massive weight loss, is also highly improved by these procedures.</t>
        </is>
      </c>
      <c r="E8" s="7" t="inlineStr">
        <is>
          <t>direct causal</t>
        </is>
      </c>
      <c r="F8" s="7" t="inlineStr">
        <is>
          <t>met</t>
        </is>
      </c>
      <c r="G8" s="7" t="inlineStr">
        <is>
          <t>Yu et al. 2019 (PubMed)</t>
        </is>
      </c>
      <c r="H8" s="7" t="inlineStr"/>
      <c r="I8" s="8" t="n"/>
      <c r="J8" s="7" t="n"/>
      <c r="K8" s="7">
        <f>IF(J8="","",IF((J8="met")=(F8="met"),1,0))</f>
        <v/>
      </c>
      <c r="L8" s="7" t="n"/>
    </row>
    <row r="9">
      <c r="A9" s="7" t="n">
        <v>7</v>
      </c>
      <c r="B9" s="7" t="inlineStr">
        <is>
          <t>C6-07</t>
        </is>
      </c>
      <c r="C9" s="7" t="inlineStr">
        <is>
          <t>Does teprotumumab work for thyroid eye disease?</t>
        </is>
      </c>
      <c r="D9" s="7" t="inlineStr">
        <is>
          <t>In patients with active ophthalmopathy, teprotumumab was more effective than placebo in reducing proptosis and the Clinical Activity Score.</t>
        </is>
      </c>
      <c r="E9" s="7" t="inlineStr">
        <is>
          <t>direct causal</t>
        </is>
      </c>
      <c r="F9" s="7" t="inlineStr">
        <is>
          <t>met</t>
        </is>
      </c>
      <c r="G9" s="7" t="inlineStr">
        <is>
          <t>Yu et al. 2019 (PubMed)</t>
        </is>
      </c>
      <c r="H9" s="7" t="inlineStr"/>
      <c r="I9" s="8" t="n"/>
      <c r="J9" s="7" t="n"/>
      <c r="K9" s="7">
        <f>IF(J9="","",IF((J9="met")=(F9="met"),1,0))</f>
        <v/>
      </c>
      <c r="L9" s="7" t="n"/>
    </row>
    <row r="10">
      <c r="A10" s="7" t="n">
        <v>8</v>
      </c>
      <c r="B10" s="7" t="inlineStr">
        <is>
          <t>C6-08</t>
        </is>
      </c>
      <c r="C10" s="7" t="inlineStr">
        <is>
          <t>Do statins reduce inflammation in people with HIV?</t>
        </is>
      </c>
      <c r="D10" s="7" t="inlineStr">
        <is>
          <t>In virologically suppressed individuals with HIV infection, atorvastatin did not significantly decrease levels of soluble or cellular biomarkers of immune activation and inflammation but resulted in robust reductions in LDL cholesterol, oxLDL, and lipoprotein-associated phospholipase A2, biomarkers associated with cardiovascular risk.</t>
        </is>
      </c>
      <c r="E10" s="7" t="inlineStr">
        <is>
          <t>direct causal</t>
        </is>
      </c>
      <c r="F10" s="7" t="inlineStr">
        <is>
          <t>met</t>
        </is>
      </c>
      <c r="G10" s="7" t="inlineStr">
        <is>
          <t>Yu et al. 2019 (PubMed)</t>
        </is>
      </c>
      <c r="H10" s="7" t="inlineStr"/>
      <c r="I10" s="8" t="n"/>
      <c r="J10" s="7" t="n"/>
      <c r="K10" s="7">
        <f>IF(J10="","",IF((J10="met")=(F10="met"),1,0))</f>
        <v/>
      </c>
      <c r="L10" s="7" t="n"/>
    </row>
    <row r="11">
      <c r="A11" s="7" t="n">
        <v>9</v>
      </c>
      <c r="B11" s="7" t="inlineStr">
        <is>
          <t>C6-09</t>
        </is>
      </c>
      <c r="C11" s="7" t="inlineStr">
        <is>
          <t>What effects do bile acid sequestrants have on cholesterol and blood sugar?</t>
        </is>
      </c>
      <c r="D11" s="7" t="inlineStr">
        <is>
          <t>This meta-analysis suggests that therapy with BAS significantly improves HDL-C, LDL-C, and glycemic markers including fasting blood glucose, HbA1c levels, while deteriorating triglyceride levels.</t>
        </is>
      </c>
      <c r="E11" s="7" t="inlineStr">
        <is>
          <t>direct causal</t>
        </is>
      </c>
      <c r="F11" s="7" t="inlineStr">
        <is>
          <t>met</t>
        </is>
      </c>
      <c r="G11" s="7" t="inlineStr">
        <is>
          <t>Yu et al. 2019 (PubMed)</t>
        </is>
      </c>
      <c r="H11" s="7" t="inlineStr"/>
      <c r="I11" s="8" t="n"/>
      <c r="J11" s="7" t="n"/>
      <c r="K11" s="7">
        <f>IF(J11="","",IF((J11="met")=(F11="met"),1,0))</f>
        <v/>
      </c>
      <c r="L11" s="7" t="n"/>
    </row>
    <row r="12">
      <c r="A12" s="7" t="n">
        <v>10</v>
      </c>
      <c r="B12" s="7" t="inlineStr">
        <is>
          <t>C6-10</t>
        </is>
      </c>
      <c r="C12" s="7" t="inlineStr">
        <is>
          <t>Is a vegan diet good for managing type 2 diabetes?</t>
        </is>
      </c>
      <c r="D12" s="7" t="inlineStr">
        <is>
          <t>"Both a low-fat vegan diet and a diet based on ADA guidelines improved glycemic and lipid control in type 2 diabetic patients."</t>
        </is>
      </c>
      <c r="E12" s="7" t="inlineStr">
        <is>
          <t>direct causal</t>
        </is>
      </c>
      <c r="F12" s="7" t="inlineStr">
        <is>
          <t>met</t>
        </is>
      </c>
      <c r="G12" s="7" t="inlineStr">
        <is>
          <t>Yu et al. 2019 (PubMed)</t>
        </is>
      </c>
      <c r="H12" s="7" t="inlineStr"/>
      <c r="I12" s="8" t="n"/>
      <c r="J12" s="7" t="n"/>
      <c r="K12" s="7">
        <f>IF(J12="","",IF((J12="met")=(F12="met"),1,0))</f>
        <v/>
      </c>
      <c r="L12" s="7" t="n"/>
    </row>
    <row r="13">
      <c r="A13" s="7" t="n">
        <v>11</v>
      </c>
      <c r="B13" s="7" t="inlineStr">
        <is>
          <t>C6-11</t>
        </is>
      </c>
      <c r="C13" s="7" t="inlineStr">
        <is>
          <t>Why does sepsis weaken the immune system?</t>
        </is>
      </c>
      <c r="D13" s="7" t="inlineStr">
        <is>
          <t>Depletion of the memory B-cell compartment contributes to the immunosuppression induced by sepsis.</t>
        </is>
      </c>
      <c r="E13" s="7" t="inlineStr">
        <is>
          <t>direct causal</t>
        </is>
      </c>
      <c r="F13" s="7" t="inlineStr">
        <is>
          <t>met</t>
        </is>
      </c>
      <c r="G13" s="7" t="inlineStr">
        <is>
          <t>Yu et al. 2019 (PubMed)</t>
        </is>
      </c>
      <c r="H13" s="7" t="inlineStr"/>
      <c r="I13" s="8" t="n"/>
      <c r="J13" s="7" t="n"/>
      <c r="K13" s="7">
        <f>IF(J13="","",IF((J13="met")=(F13="met"),1,0))</f>
        <v/>
      </c>
      <c r="L13" s="7" t="n"/>
    </row>
    <row r="14">
      <c r="A14" s="7" t="n">
        <v>12</v>
      </c>
      <c r="B14" s="7" t="inlineStr">
        <is>
          <t>C6-12</t>
        </is>
      </c>
      <c r="C14" s="7" t="inlineStr">
        <is>
          <t>Does exercise improve thinking skills in children who are obese?</t>
        </is>
      </c>
      <c r="D14" s="7" t="inlineStr">
        <is>
          <t>Furthermore, these findings reveal that the benefits of physical activity to improvements in cognitive function are particularly evident among children who are obese.</t>
        </is>
      </c>
      <c r="E14" s="7" t="inlineStr">
        <is>
          <t>direct causal</t>
        </is>
      </c>
      <c r="F14" s="7" t="inlineStr">
        <is>
          <t>met</t>
        </is>
      </c>
      <c r="G14" s="7" t="inlineStr">
        <is>
          <t>Yu et al. 2019 (PubMed)</t>
        </is>
      </c>
      <c r="H14" s="7" t="inlineStr"/>
      <c r="I14" s="8" t="n"/>
      <c r="J14" s="7" t="n"/>
      <c r="K14" s="7">
        <f>IF(J14="","",IF((J14="met")=(F14="met"),1,0))</f>
        <v/>
      </c>
      <c r="L14" s="7" t="n"/>
    </row>
    <row r="15">
      <c r="A15" s="7" t="n">
        <v>13</v>
      </c>
      <c r="B15" s="7" t="inlineStr">
        <is>
          <t>C6-13</t>
        </is>
      </c>
      <c r="C15" s="7" t="inlineStr">
        <is>
          <t>Can a phone call from a dietitian get menopausal women to eat more soy?</t>
        </is>
      </c>
      <c r="D15" s="7" t="inlineStr">
        <is>
          <t>A brief telephone-based intervention with a focused message delivered by a registered dietitian is a feasible approach for encouraging targeted dietary changes, such as an increase in soy intake among peri- and postmenopausal women.</t>
        </is>
      </c>
      <c r="E15" s="7" t="inlineStr">
        <is>
          <t>direct causal</t>
        </is>
      </c>
      <c r="F15" s="7" t="inlineStr">
        <is>
          <t>met</t>
        </is>
      </c>
      <c r="G15" s="7" t="inlineStr">
        <is>
          <t>Yu et al. 2019 (PubMed)</t>
        </is>
      </c>
      <c r="H15" s="7" t="inlineStr"/>
      <c r="I15" s="8" t="n"/>
      <c r="J15" s="7" t="n"/>
      <c r="K15" s="7">
        <f>IF(J15="","",IF((J15="met")=(F15="met"),1,0))</f>
        <v/>
      </c>
      <c r="L15" s="7" t="n"/>
    </row>
    <row r="16">
      <c r="A16" s="7" t="n">
        <v>14</v>
      </c>
      <c r="B16" s="7" t="inlineStr">
        <is>
          <t>C6-14</t>
        </is>
      </c>
      <c r="C16" s="7" t="inlineStr">
        <is>
          <t>How do personalized nutrition studies give diet advice to participants?</t>
        </is>
      </c>
      <c r="D16" s="7" t="inlineStr">
        <is>
          <t>The dietary feedback system was used to deliver personalized dietary advice within a multi-country study.</t>
        </is>
      </c>
      <c r="E16" s="7" t="inlineStr">
        <is>
          <t>no relationship</t>
        </is>
      </c>
      <c r="F16" s="7" t="inlineStr">
        <is>
          <t>not_met</t>
        </is>
      </c>
      <c r="G16" s="7" t="inlineStr">
        <is>
          <t>Yu et al. 2019 (PubMed)</t>
        </is>
      </c>
      <c r="H16" s="7" t="inlineStr"/>
      <c r="I16" s="8" t="n"/>
      <c r="J16" s="7" t="n"/>
      <c r="K16" s="7">
        <f>IF(J16="","",IF((J16="met")=(F16="met"),1,0))</f>
        <v/>
      </c>
      <c r="L16" s="7" t="n"/>
    </row>
    <row r="17">
      <c r="A17" s="7" t="n">
        <v>15</v>
      </c>
      <c r="B17" s="7" t="inlineStr">
        <is>
          <t>C6-15</t>
        </is>
      </c>
      <c r="C17" s="7" t="inlineStr">
        <is>
          <t>What is FGF21, and how is it linked to blood vessel health in dialysis patients?</t>
        </is>
      </c>
      <c r="D17" s="7" t="inlineStr">
        <is>
          <t>Endothelial dysfunction is associated with high FGF21 in HD patients.</t>
        </is>
      </c>
      <c r="E17" s="7" t="inlineStr">
        <is>
          <t>correlational</t>
        </is>
      </c>
      <c r="F17" s="7" t="inlineStr">
        <is>
          <t>not_met</t>
        </is>
      </c>
      <c r="G17" s="7" t="inlineStr">
        <is>
          <t>Yu et al. 2019 (PubMed)</t>
        </is>
      </c>
      <c r="H17" s="7" t="inlineStr"/>
      <c r="I17" s="8" t="n"/>
      <c r="J17" s="7" t="n"/>
      <c r="K17" s="7">
        <f>IF(J17="","",IF((J17="met")=(F17="met"),1,0))</f>
        <v/>
      </c>
      <c r="L17" s="7" t="n"/>
    </row>
    <row r="18">
      <c r="A18" s="7" t="n">
        <v>16</v>
      </c>
      <c r="B18" s="7" t="inlineStr">
        <is>
          <t>C6-16</t>
        </is>
      </c>
      <c r="C18" s="7" t="inlineStr">
        <is>
          <t>How have schools and families changed how they manage meals for children with special diets?</t>
        </is>
      </c>
      <c r="D18" s="7" t="inlineStr">
        <is>
          <t>An improvement can be observed: a transition from a suspicion about special diet management to an appropriate and responsible management of meals for children and young people suffering from this specific condition."</t>
        </is>
      </c>
      <c r="E18" s="7" t="inlineStr">
        <is>
          <t>correlational</t>
        </is>
      </c>
      <c r="F18" s="7" t="inlineStr">
        <is>
          <t>not_met</t>
        </is>
      </c>
      <c r="G18" s="7" t="inlineStr">
        <is>
          <t>Yu et al. 2019 (PubMed)</t>
        </is>
      </c>
      <c r="H18" s="7" t="inlineStr"/>
      <c r="I18" s="8" t="n"/>
      <c r="J18" s="7" t="n"/>
      <c r="K18" s="7">
        <f>IF(J18="","",IF((J18="met")=(F18="met"),1,0))</f>
        <v/>
      </c>
      <c r="L18" s="7" t="n"/>
    </row>
    <row r="19">
      <c r="A19" s="7" t="n">
        <v>17</v>
      </c>
      <c r="B19" s="7" t="inlineStr">
        <is>
          <t>C6-17</t>
        </is>
      </c>
      <c r="C19" s="7" t="inlineStr">
        <is>
          <t>Do sugary drinks increase the risk of type 2 diabetes?</t>
        </is>
      </c>
      <c r="D19" s="7" t="inlineStr">
        <is>
          <t>Habitual consumption of sugar sweetened beverages was associated with a greater incidence of type 2 diabetes, independently of adiposity.</t>
        </is>
      </c>
      <c r="E19" s="7" t="inlineStr">
        <is>
          <t>correlational</t>
        </is>
      </c>
      <c r="F19" s="7" t="inlineStr">
        <is>
          <t>not_met</t>
        </is>
      </c>
      <c r="G19" s="7" t="inlineStr">
        <is>
          <t>Yu et al. 2019 (PubMed)</t>
        </is>
      </c>
      <c r="H19" s="7" t="inlineStr"/>
      <c r="I19" s="8" t="n"/>
      <c r="J19" s="7" t="n"/>
      <c r="K19" s="7">
        <f>IF(J19="","",IF((J19="met")=(F19="met"),1,0))</f>
        <v/>
      </c>
      <c r="L19" s="7" t="n"/>
    </row>
    <row r="20">
      <c r="A20" s="7" t="n">
        <v>18</v>
      </c>
      <c r="B20" s="7" t="inlineStr">
        <is>
          <t>C6-18</t>
        </is>
      </c>
      <c r="C20" s="7" t="inlineStr">
        <is>
          <t>Which older adults are most likely to be prescribed potentially inappropriate medications?</t>
        </is>
      </c>
      <c r="D20" s="7" t="inlineStr">
        <is>
          <t>Female gender, a poor functional status and polypharmacy, are the characteristics linked to their use.</t>
        </is>
      </c>
      <c r="E20" s="7" t="inlineStr">
        <is>
          <t>correlational</t>
        </is>
      </c>
      <c r="F20" s="7" t="inlineStr">
        <is>
          <t>not_met</t>
        </is>
      </c>
      <c r="G20" s="7" t="inlineStr">
        <is>
          <t>Yu et al. 2019 (PubMed)</t>
        </is>
      </c>
      <c r="H20" s="7" t="inlineStr"/>
      <c r="I20" s="8" t="n"/>
      <c r="J20" s="7" t="n"/>
      <c r="K20" s="7">
        <f>IF(J20="","",IF((J20="met")=(F20="met"),1,0))</f>
        <v/>
      </c>
      <c r="L20" s="7" t="n"/>
    </row>
    <row r="21">
      <c r="A21" s="7" t="n">
        <v>19</v>
      </c>
      <c r="B21" s="7" t="inlineStr">
        <is>
          <t>C6-19</t>
        </is>
      </c>
      <c r="C21" s="7" t="inlineStr">
        <is>
          <t>Why do some children drink more sugary drinks than others?</t>
        </is>
      </c>
      <c r="D21" s="7" t="inlineStr">
        <is>
          <t>Also, the relationships between these factors and the childs SSB intake differed for children with distinct ethnic backgrounds.</t>
        </is>
      </c>
      <c r="E21" s="7" t="inlineStr">
        <is>
          <t>correlational</t>
        </is>
      </c>
      <c r="F21" s="7" t="inlineStr">
        <is>
          <t>not_met</t>
        </is>
      </c>
      <c r="G21" s="7" t="inlineStr">
        <is>
          <t>Yu et al. 2019 (PubMed)</t>
        </is>
      </c>
      <c r="H21" s="7" t="inlineStr"/>
      <c r="I21" s="8" t="n"/>
      <c r="J21" s="7" t="n"/>
      <c r="K21" s="7">
        <f>IF(J21="","",IF((J21="met")=(F21="met"),1,0))</f>
        <v/>
      </c>
      <c r="L21" s="7" t="n"/>
    </row>
    <row r="22">
      <c r="A22" s="7" t="n">
        <v>20</v>
      </c>
      <c r="B22" s="7" t="inlineStr">
        <is>
          <t>C6-20</t>
        </is>
      </c>
      <c r="C22" s="7" t="inlineStr">
        <is>
          <t>How should vitamin D levels be monitored in children receiving vitamin D injections?</t>
        </is>
      </c>
      <c r="D22" s="7" t="inlineStr">
        <is>
          <t>For regular monitoring, only ALP assay is recommended, provided one abstains from repeat injection of vitamin D based on high ALP levels.</t>
        </is>
      </c>
      <c r="E22" s="7" t="inlineStr">
        <is>
          <t>no relationship</t>
        </is>
      </c>
      <c r="F22" s="7" t="inlineStr">
        <is>
          <t>not_met</t>
        </is>
      </c>
      <c r="G22" s="7" t="inlineStr">
        <is>
          <t>Yu et al. 2019 (PubMed)</t>
        </is>
      </c>
      <c r="H22" s="7" t="inlineStr"/>
      <c r="I22" s="8" t="n"/>
      <c r="J22" s="7" t="n"/>
      <c r="K22" s="7">
        <f>IF(J22="","",IF((J22="met")=(F22="met"),1,0))</f>
        <v/>
      </c>
      <c r="L22" s="7" t="n"/>
    </row>
    <row r="23">
      <c r="A23" s="7" t="n">
        <v>21</v>
      </c>
      <c r="B23" s="7" t="inlineStr">
        <is>
          <t>C6-21</t>
        </is>
      </c>
      <c r="C23" s="7" t="inlineStr">
        <is>
          <t>Do pain medications that work for diabetic nerve pain work for other kinds of nerve pain?</t>
        </is>
      </c>
      <c r="D23" s="7" t="inlineStr">
        <is>
          <t>These data support the potential for extrapolating analgesic efficacy to other neuropathic pain conditions.</t>
        </is>
      </c>
      <c r="E23" s="7" t="inlineStr">
        <is>
          <t>no relationship</t>
        </is>
      </c>
      <c r="F23" s="7" t="inlineStr">
        <is>
          <t>not_met</t>
        </is>
      </c>
      <c r="G23" s="7" t="inlineStr">
        <is>
          <t>Yu et al. 2019 (PubMed)</t>
        </is>
      </c>
      <c r="H23" s="7" t="inlineStr"/>
      <c r="I23" s="8" t="n"/>
      <c r="J23" s="7" t="n"/>
      <c r="K23" s="7">
        <f>IF(J23="","",IF((J23="met")=(F23="met"),1,0))</f>
        <v/>
      </c>
      <c r="L23" s="7" t="n"/>
    </row>
    <row r="24">
      <c r="A24" s="7" t="n">
        <v>22</v>
      </c>
      <c r="B24" s="7" t="inlineStr">
        <is>
          <t>C6-22</t>
        </is>
      </c>
      <c r="C24" s="7" t="inlineStr">
        <is>
          <t>Do highly active women get enough B vitamins?</t>
        </is>
      </c>
      <c r="D24" s="7" t="inlineStr">
        <is>
          <t>This nutrition assessment documented good status for folate, vitamin B6, and vitamin B12 in the highly active women.</t>
        </is>
      </c>
      <c r="E24" s="7" t="inlineStr">
        <is>
          <t>no relationship</t>
        </is>
      </c>
      <c r="F24" s="7" t="inlineStr">
        <is>
          <t>not_met</t>
        </is>
      </c>
      <c r="G24" s="7" t="inlineStr">
        <is>
          <t>Yu et al. 2019 (PubMed)</t>
        </is>
      </c>
      <c r="H24" s="7" t="inlineStr"/>
      <c r="I24" s="8" t="n"/>
      <c r="J24" s="7" t="n"/>
      <c r="K24" s="7">
        <f>IF(J24="","",IF((J24="met")=(F24="met"),1,0))</f>
        <v/>
      </c>
      <c r="L24" s="7" t="n"/>
    </row>
    <row r="25">
      <c r="A25" s="7" t="n">
        <v>23</v>
      </c>
      <c r="B25" s="7" t="inlineStr">
        <is>
          <t>C6-23</t>
        </is>
      </c>
      <c r="C25" s="7" t="inlineStr">
        <is>
          <t>Do children keep the weight off after an obesity program ends?</t>
        </is>
      </c>
      <c r="D25" s="7" t="inlineStr">
        <is>
          <t>Weight status of intervention participants did not rebound 6 months after programming.</t>
        </is>
      </c>
      <c r="E25" s="7" t="inlineStr">
        <is>
          <t>no relationship</t>
        </is>
      </c>
      <c r="F25" s="7" t="inlineStr">
        <is>
          <t>not_met</t>
        </is>
      </c>
      <c r="G25" s="7" t="inlineStr">
        <is>
          <t>Yu et al. 2019 (PubMed)</t>
        </is>
      </c>
      <c r="H25" s="7" t="inlineStr"/>
      <c r="I25" s="8" t="n"/>
      <c r="J25" s="7" t="n"/>
      <c r="K25" s="7">
        <f>IF(J25="","",IF((J25="met")=(F25="met"),1,0))</f>
        <v/>
      </c>
      <c r="L25" s="7" t="n"/>
    </row>
    <row r="26">
      <c r="A26" s="7" t="n">
        <v>24</v>
      </c>
      <c r="B26" s="7" t="inlineStr">
        <is>
          <t>C6-24</t>
        </is>
      </c>
      <c r="C26" s="7" t="inlineStr">
        <is>
          <t>Do older patients usually get high-dose statins?</t>
        </is>
      </c>
      <c r="D26" s="7" t="inlineStr">
        <is>
          <t>Statin therapy in this population rarely went beyond low-moderate doses.</t>
        </is>
      </c>
      <c r="E26" s="7" t="inlineStr">
        <is>
          <t>no relationship</t>
        </is>
      </c>
      <c r="F26" s="7" t="inlineStr">
        <is>
          <t>not_met</t>
        </is>
      </c>
      <c r="G26" s="7" t="inlineStr">
        <is>
          <t>Yu et al. 2019 (PubMed)</t>
        </is>
      </c>
      <c r="H26" s="7" t="inlineStr"/>
      <c r="I26" s="8" t="n"/>
      <c r="J26" s="7" t="n"/>
      <c r="K26" s="7">
        <f>IF(J26="","",IF((J26="met")=(F26="met"),1,0))</f>
        <v/>
      </c>
      <c r="L26" s="7" t="n"/>
    </row>
    <row r="27">
      <c r="A27" s="7" t="n">
        <v>25</v>
      </c>
      <c r="B27" s="7" t="inlineStr">
        <is>
          <t>C6-25</t>
        </is>
      </c>
      <c r="C27" s="7" t="inlineStr">
        <is>
          <t>What treatments are being studied for triple-negative breast cancer?</t>
        </is>
      </c>
      <c r="D27" s="7" t="inlineStr">
        <is>
          <t>"Further evaluation in a randomized trial enrolling TNBC patients is warranted."</t>
        </is>
      </c>
      <c r="E27" s="7" t="inlineStr">
        <is>
          <t>no relationship</t>
        </is>
      </c>
      <c r="F27" s="7" t="inlineStr">
        <is>
          <t>not_met</t>
        </is>
      </c>
      <c r="G27" s="7" t="inlineStr">
        <is>
          <t>Yu et al. 2019 (PubMed)</t>
        </is>
      </c>
      <c r="H27" s="7" t="inlineStr"/>
      <c r="I27" s="8" t="n"/>
      <c r="J27" s="7" t="n"/>
      <c r="K27" s="7">
        <f>IF(J27="","",IF((J27="met")=(F27="met"),1,0))</f>
        <v/>
      </c>
      <c r="L27" s="7" t="n"/>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2026-10-27T04:55:07Z</dcterms:created>
  <dcterms:modified xsi:type="dcterms:W3CDTF">2026-10-27T04:55:07Z</dcterms:modified>
</cp:coreProperties>
</file>